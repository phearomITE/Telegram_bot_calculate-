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ip Mong\Excel\"/>
    </mc:Choice>
  </mc:AlternateContent>
  <xr:revisionPtr revIDLastSave="0" documentId="13_ncr:1_{4A89CEA7-C5CE-408B-801C-EF7ACD2450FE}" xr6:coauthVersionLast="45" xr6:coauthVersionMax="47" xr10:uidLastSave="{00000000-0000-0000-0000-000000000000}"/>
  <bookViews>
    <workbookView xWindow="-108" yWindow="-108" windowWidth="23256" windowHeight="12456" tabRatio="574" activeTab="1" xr2:uid="{A6BF39E5-955E-4E09-8631-AEE6E88D1F18}"/>
  </bookViews>
  <sheets>
    <sheet name="Oil" sheetId="30" r:id="rId1"/>
    <sheet name="Powder Detergent" sheetId="26" r:id="rId2"/>
  </sheets>
  <definedNames>
    <definedName name="_xlnm._FilterDatabase" localSheetId="0" hidden="1">Oil!$A$5:$AG$39</definedName>
    <definedName name="_xlnm._FilterDatabase" localSheetId="1" hidden="1">'Powder Detergent'!$A$5:$AF$42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6" i="26" l="1"/>
  <c r="M6" i="26"/>
  <c r="O6" i="26" s="1"/>
  <c r="R6" i="26"/>
  <c r="Z6" i="26"/>
  <c r="Z8" i="26" s="1"/>
  <c r="Z10" i="26" s="1"/>
  <c r="Z12" i="26" s="1"/>
  <c r="AE6" i="26"/>
  <c r="J7" i="26"/>
  <c r="M7" i="26"/>
  <c r="O7" i="26"/>
  <c r="R7" i="26"/>
  <c r="S7" i="26"/>
  <c r="U7" i="26"/>
  <c r="V7" i="26"/>
  <c r="W7" i="26" s="1"/>
  <c r="Z7" i="26"/>
  <c r="Z9" i="26" s="1"/>
  <c r="Z11" i="26" s="1"/>
  <c r="Z13" i="26" s="1"/>
  <c r="AE7" i="26"/>
  <c r="J8" i="26"/>
  <c r="M8" i="26"/>
  <c r="O8" i="26"/>
  <c r="R8" i="26"/>
  <c r="S8" i="26"/>
  <c r="U8" i="26"/>
  <c r="V8" i="26"/>
  <c r="Y8" i="26" s="1"/>
  <c r="AA8" i="26" s="1"/>
  <c r="W8" i="26"/>
  <c r="AE8" i="26"/>
  <c r="J9" i="26"/>
  <c r="M9" i="26"/>
  <c r="O9" i="26"/>
  <c r="R9" i="26"/>
  <c r="S9" i="26"/>
  <c r="U9" i="26"/>
  <c r="AE9" i="26"/>
  <c r="J10" i="26"/>
  <c r="M10" i="26"/>
  <c r="O10" i="26"/>
  <c r="U10" i="26" s="1"/>
  <c r="R10" i="26"/>
  <c r="S10" i="26" s="1"/>
  <c r="AE10" i="26"/>
  <c r="J11" i="26"/>
  <c r="M11" i="26"/>
  <c r="O11" i="26" s="1"/>
  <c r="R11" i="26"/>
  <c r="AE11" i="26"/>
  <c r="J12" i="26"/>
  <c r="M12" i="26"/>
  <c r="O12" i="26"/>
  <c r="R12" i="26"/>
  <c r="S12" i="26"/>
  <c r="U12" i="26"/>
  <c r="V12" i="26"/>
  <c r="W12" i="26" s="1"/>
  <c r="AE12" i="26"/>
  <c r="J13" i="26"/>
  <c r="M13" i="26"/>
  <c r="O13" i="26"/>
  <c r="R13" i="26"/>
  <c r="S13" i="26"/>
  <c r="U13" i="26"/>
  <c r="V13" i="26"/>
  <c r="W13" i="26"/>
  <c r="Y13" i="26"/>
  <c r="AA13" i="26" s="1"/>
  <c r="AE13" i="26"/>
  <c r="J14" i="26"/>
  <c r="M14" i="26"/>
  <c r="O14" i="26"/>
  <c r="R14" i="26"/>
  <c r="S14" i="26"/>
  <c r="U14" i="26"/>
  <c r="V14" i="26"/>
  <c r="Y14" i="26" s="1"/>
  <c r="W14" i="26"/>
  <c r="AE14" i="26"/>
  <c r="V9" i="26" l="1"/>
  <c r="W9" i="26" s="1"/>
  <c r="Y12" i="26"/>
  <c r="Y7" i="26"/>
  <c r="AA7" i="26" s="1"/>
  <c r="AD7" i="26"/>
  <c r="AF7" i="26"/>
  <c r="S6" i="26"/>
  <c r="U6" i="26"/>
  <c r="V6" i="26" s="1"/>
  <c r="AD13" i="26"/>
  <c r="AF13" i="26"/>
  <c r="AD8" i="26"/>
  <c r="AF8" i="26"/>
  <c r="AA14" i="26"/>
  <c r="Z14" i="26"/>
  <c r="AA12" i="26"/>
  <c r="S11" i="26"/>
  <c r="U11" i="26"/>
  <c r="V11" i="26"/>
  <c r="V10" i="26"/>
  <c r="Y9" i="26" l="1"/>
  <c r="AA9" i="26" s="1"/>
  <c r="AD14" i="26"/>
  <c r="AF14" i="26"/>
  <c r="W10" i="26"/>
  <c r="Y10" i="26"/>
  <c r="AA10" i="26" s="1"/>
  <c r="W11" i="26"/>
  <c r="Y11" i="26"/>
  <c r="AA11" i="26" s="1"/>
  <c r="W6" i="26"/>
  <c r="Y6" i="26"/>
  <c r="AA6" i="26" s="1"/>
  <c r="AF12" i="26"/>
  <c r="AD12" i="26"/>
  <c r="AD9" i="26"/>
  <c r="AF9" i="26"/>
  <c r="W19" i="30"/>
  <c r="Z39" i="30"/>
  <c r="Z38" i="30"/>
  <c r="Z37" i="30"/>
  <c r="Z36" i="30"/>
  <c r="Z35" i="30"/>
  <c r="Z34" i="30"/>
  <c r="Z33" i="30"/>
  <c r="Z32" i="30"/>
  <c r="Z31" i="30"/>
  <c r="Z30" i="30"/>
  <c r="Z29" i="30"/>
  <c r="Z28" i="30"/>
  <c r="Z27" i="30"/>
  <c r="Z26" i="30"/>
  <c r="Z25" i="30"/>
  <c r="Z24" i="30"/>
  <c r="Z23" i="30"/>
  <c r="Z22" i="30"/>
  <c r="Z21" i="30"/>
  <c r="Z20" i="30"/>
  <c r="Z19" i="30"/>
  <c r="Z18" i="30"/>
  <c r="Z17" i="30"/>
  <c r="Z16" i="30"/>
  <c r="Z15" i="30"/>
  <c r="Z12" i="30"/>
  <c r="Z11" i="30"/>
  <c r="Z14" i="30"/>
  <c r="Z13" i="30"/>
  <c r="Z10" i="30"/>
  <c r="Z9" i="30"/>
  <c r="Z8" i="30"/>
  <c r="T20" i="30"/>
  <c r="T19" i="30"/>
  <c r="AD6" i="26" l="1"/>
  <c r="AF6" i="26"/>
  <c r="AD11" i="26"/>
  <c r="AF11" i="26"/>
  <c r="AD10" i="26"/>
  <c r="AF10" i="26"/>
  <c r="J27" i="26"/>
  <c r="R27" i="26"/>
  <c r="S27" i="26" s="1"/>
  <c r="U27" i="26"/>
  <c r="AE27" i="26"/>
  <c r="J26" i="26"/>
  <c r="R26" i="26"/>
  <c r="S26" i="26" s="1"/>
  <c r="U26" i="26"/>
  <c r="AE26" i="26"/>
  <c r="J25" i="26"/>
  <c r="R25" i="26"/>
  <c r="S25" i="26" s="1"/>
  <c r="U25" i="26"/>
  <c r="AE25" i="26"/>
  <c r="J24" i="26"/>
  <c r="R24" i="26"/>
  <c r="S24" i="26" s="1"/>
  <c r="U24" i="26"/>
  <c r="AE24" i="26"/>
  <c r="AE18" i="26"/>
  <c r="U18" i="26"/>
  <c r="R18" i="26"/>
  <c r="S18" i="26" s="1"/>
  <c r="J18" i="26"/>
  <c r="AE16" i="26"/>
  <c r="U16" i="26"/>
  <c r="R16" i="26"/>
  <c r="S16" i="26" s="1"/>
  <c r="J16" i="26"/>
  <c r="AE17" i="26"/>
  <c r="U17" i="26"/>
  <c r="R17" i="26"/>
  <c r="S17" i="26" s="1"/>
  <c r="J17" i="26"/>
  <c r="O38" i="30"/>
  <c r="O39" i="30"/>
  <c r="AE36" i="30"/>
  <c r="AE37" i="30"/>
  <c r="AE39" i="30"/>
  <c r="J36" i="30"/>
  <c r="J37" i="30"/>
  <c r="J38" i="30"/>
  <c r="J39" i="30"/>
  <c r="U36" i="30"/>
  <c r="R36" i="30"/>
  <c r="S36" i="30" s="1"/>
  <c r="R37" i="30"/>
  <c r="R38" i="30"/>
  <c r="R39" i="30"/>
  <c r="U37" i="30"/>
  <c r="O23" i="30"/>
  <c r="O24" i="30"/>
  <c r="O25" i="30"/>
  <c r="O22" i="30"/>
  <c r="W31" i="30"/>
  <c r="AE31" i="30"/>
  <c r="Y31" i="30"/>
  <c r="U31" i="30"/>
  <c r="R31" i="30"/>
  <c r="S31" i="30" s="1"/>
  <c r="J31" i="30"/>
  <c r="AE30" i="30"/>
  <c r="U30" i="30"/>
  <c r="R30" i="30"/>
  <c r="S30" i="30" s="1"/>
  <c r="J30" i="30"/>
  <c r="AE29" i="30"/>
  <c r="U29" i="30"/>
  <c r="R29" i="30"/>
  <c r="S29" i="30" s="1"/>
  <c r="V29" i="30" s="1"/>
  <c r="J29" i="30"/>
  <c r="V30" i="30" l="1"/>
  <c r="Y30" i="30" s="1"/>
  <c r="V26" i="26"/>
  <c r="W26" i="26" s="1"/>
  <c r="V24" i="26"/>
  <c r="W24" i="26"/>
  <c r="Y24" i="26"/>
  <c r="V27" i="26"/>
  <c r="Y27" i="26" s="1"/>
  <c r="V25" i="26"/>
  <c r="W25" i="26" s="1"/>
  <c r="V36" i="30"/>
  <c r="W36" i="30" s="1"/>
  <c r="Y36" i="30"/>
  <c r="Y18" i="26"/>
  <c r="W18" i="26"/>
  <c r="Y16" i="26"/>
  <c r="W16" i="26"/>
  <c r="Y17" i="26"/>
  <c r="W17" i="26"/>
  <c r="S39" i="30"/>
  <c r="S38" i="30"/>
  <c r="S37" i="30"/>
  <c r="V37" i="30" s="1"/>
  <c r="U39" i="30"/>
  <c r="U38" i="30"/>
  <c r="Y29" i="30"/>
  <c r="W29" i="30"/>
  <c r="Y26" i="26" l="1"/>
  <c r="W30" i="30"/>
  <c r="Y25" i="26"/>
  <c r="W27" i="26"/>
  <c r="W37" i="30"/>
  <c r="Y37" i="30"/>
  <c r="V38" i="30"/>
  <c r="V39" i="30"/>
  <c r="W39" i="30" l="1"/>
  <c r="Y39" i="30"/>
  <c r="Y38" i="30"/>
  <c r="W38" i="30"/>
  <c r="T30" i="26" l="1"/>
  <c r="T29" i="26"/>
  <c r="T28" i="26"/>
  <c r="Q31" i="26" l="1"/>
  <c r="R31" i="26" s="1"/>
  <c r="S31" i="26" s="1"/>
  <c r="Q33" i="26"/>
  <c r="R33" i="26" s="1"/>
  <c r="S33" i="26" s="1"/>
  <c r="Q34" i="26"/>
  <c r="R34" i="26" s="1"/>
  <c r="S34" i="26" s="1"/>
  <c r="Q32" i="26"/>
  <c r="R32" i="26" s="1"/>
  <c r="S32" i="26" s="1"/>
  <c r="J42" i="26"/>
  <c r="J41" i="26"/>
  <c r="J40" i="26"/>
  <c r="J39" i="26"/>
  <c r="J38" i="26"/>
  <c r="J37" i="26"/>
  <c r="J36" i="26"/>
  <c r="J35" i="26"/>
  <c r="J34" i="26"/>
  <c r="J33" i="26"/>
  <c r="J32" i="26"/>
  <c r="J31" i="26"/>
  <c r="J30" i="26"/>
  <c r="J29" i="26"/>
  <c r="J28" i="26"/>
  <c r="R15" i="26"/>
  <c r="S15" i="26" s="1"/>
  <c r="J23" i="26"/>
  <c r="J21" i="26"/>
  <c r="J20" i="26"/>
  <c r="J19" i="26"/>
  <c r="J15" i="26"/>
  <c r="U15" i="26"/>
  <c r="AE15" i="26"/>
  <c r="R19" i="26"/>
  <c r="S19" i="26" s="1"/>
  <c r="AE19" i="26"/>
  <c r="U20" i="26"/>
  <c r="R20" i="26"/>
  <c r="S20" i="26" s="1"/>
  <c r="AE20" i="26"/>
  <c r="R21" i="26"/>
  <c r="S21" i="26" s="1"/>
  <c r="U21" i="26"/>
  <c r="AE21" i="26"/>
  <c r="R23" i="26"/>
  <c r="S23" i="26" s="1"/>
  <c r="AE23" i="26"/>
  <c r="R28" i="26"/>
  <c r="S28" i="26" s="1"/>
  <c r="U28" i="26"/>
  <c r="AE28" i="26"/>
  <c r="U29" i="26"/>
  <c r="R29" i="26"/>
  <c r="S29" i="26" s="1"/>
  <c r="AE29" i="26"/>
  <c r="U30" i="26"/>
  <c r="R30" i="26"/>
  <c r="S30" i="26" s="1"/>
  <c r="AE30" i="26"/>
  <c r="U31" i="26"/>
  <c r="AE31" i="26"/>
  <c r="U32" i="26"/>
  <c r="AE32" i="26"/>
  <c r="AE33" i="26"/>
  <c r="U34" i="26"/>
  <c r="AE34" i="26"/>
  <c r="R35" i="26"/>
  <c r="S35" i="26" s="1"/>
  <c r="U35" i="26"/>
  <c r="AE35" i="26"/>
  <c r="U36" i="26"/>
  <c r="R36" i="26"/>
  <c r="S36" i="26" s="1"/>
  <c r="AE36" i="26"/>
  <c r="R37" i="26"/>
  <c r="S37" i="26" s="1"/>
  <c r="U37" i="26"/>
  <c r="AE37" i="26"/>
  <c r="U38" i="26"/>
  <c r="R38" i="26"/>
  <c r="S38" i="26" s="1"/>
  <c r="AE38" i="26"/>
  <c r="U39" i="26"/>
  <c r="R39" i="26"/>
  <c r="S39" i="26" s="1"/>
  <c r="AE39" i="26"/>
  <c r="U40" i="26"/>
  <c r="R40" i="26"/>
  <c r="S40" i="26" s="1"/>
  <c r="AE40" i="26"/>
  <c r="R41" i="26"/>
  <c r="S41" i="26" s="1"/>
  <c r="U41" i="26"/>
  <c r="AE41" i="26"/>
  <c r="U42" i="26"/>
  <c r="R42" i="26"/>
  <c r="S42" i="26" s="1"/>
  <c r="AE42" i="26"/>
  <c r="U26" i="30"/>
  <c r="U27" i="30"/>
  <c r="U32" i="30"/>
  <c r="O35" i="30"/>
  <c r="J32" i="30"/>
  <c r="R32" i="30"/>
  <c r="S32" i="30" s="1"/>
  <c r="AE32" i="30"/>
  <c r="J33" i="30"/>
  <c r="R33" i="30"/>
  <c r="S33" i="30" s="1"/>
  <c r="U33" i="30"/>
  <c r="AE33" i="30"/>
  <c r="J34" i="30"/>
  <c r="R34" i="30"/>
  <c r="S34" i="30" s="1"/>
  <c r="AE34" i="30"/>
  <c r="J35" i="30"/>
  <c r="R35" i="30"/>
  <c r="AE35" i="30"/>
  <c r="AE24" i="30"/>
  <c r="AE19" i="30"/>
  <c r="AE20" i="30"/>
  <c r="AE21" i="30"/>
  <c r="AE22" i="30"/>
  <c r="AE23" i="30"/>
  <c r="AE25" i="30"/>
  <c r="AE26" i="30"/>
  <c r="AE27" i="30"/>
  <c r="AE28" i="30"/>
  <c r="U19" i="30"/>
  <c r="U20" i="30"/>
  <c r="U21" i="30"/>
  <c r="U28" i="30"/>
  <c r="R19" i="30"/>
  <c r="S19" i="30" s="1"/>
  <c r="R20" i="30"/>
  <c r="S20" i="30" s="1"/>
  <c r="R21" i="30"/>
  <c r="S21" i="30" s="1"/>
  <c r="R22" i="30"/>
  <c r="S22" i="30" s="1"/>
  <c r="R23" i="30"/>
  <c r="S23" i="30" s="1"/>
  <c r="R24" i="30"/>
  <c r="S24" i="30" s="1"/>
  <c r="R25" i="30"/>
  <c r="S25" i="30" s="1"/>
  <c r="R26" i="30"/>
  <c r="S26" i="30" s="1"/>
  <c r="R27" i="30"/>
  <c r="S27" i="30" s="1"/>
  <c r="R28" i="30"/>
  <c r="S28" i="30" s="1"/>
  <c r="J26" i="30"/>
  <c r="J27" i="30"/>
  <c r="J28" i="30"/>
  <c r="J19" i="30"/>
  <c r="J20" i="30"/>
  <c r="J21" i="30"/>
  <c r="J25" i="30"/>
  <c r="J24" i="30"/>
  <c r="J23" i="30"/>
  <c r="J22" i="30"/>
  <c r="AE18" i="30"/>
  <c r="R18" i="30"/>
  <c r="M18" i="30"/>
  <c r="O18" i="30" s="1"/>
  <c r="J18" i="30"/>
  <c r="AE17" i="30"/>
  <c r="R17" i="30"/>
  <c r="M17" i="30"/>
  <c r="O17" i="30" s="1"/>
  <c r="J17" i="30"/>
  <c r="AE16" i="30"/>
  <c r="R16" i="30"/>
  <c r="M16" i="30"/>
  <c r="O16" i="30" s="1"/>
  <c r="J16" i="30"/>
  <c r="AE15" i="30"/>
  <c r="R15" i="30"/>
  <c r="M15" i="30"/>
  <c r="O15" i="30" s="1"/>
  <c r="J15" i="30"/>
  <c r="AE14" i="30"/>
  <c r="R14" i="30"/>
  <c r="M14" i="30"/>
  <c r="O14" i="30" s="1"/>
  <c r="J14" i="30"/>
  <c r="AE13" i="30"/>
  <c r="R13" i="30"/>
  <c r="M13" i="30"/>
  <c r="O13" i="30" s="1"/>
  <c r="J13" i="30"/>
  <c r="AE12" i="30"/>
  <c r="R12" i="30"/>
  <c r="M12" i="30"/>
  <c r="O12" i="30" s="1"/>
  <c r="J12" i="30"/>
  <c r="AE11" i="30"/>
  <c r="R11" i="30"/>
  <c r="M11" i="30"/>
  <c r="J11" i="30"/>
  <c r="AE10" i="30"/>
  <c r="R10" i="30"/>
  <c r="M10" i="30"/>
  <c r="O10" i="30" s="1"/>
  <c r="J10" i="30"/>
  <c r="AE9" i="30"/>
  <c r="R9" i="30"/>
  <c r="M9" i="30"/>
  <c r="O9" i="30" s="1"/>
  <c r="J9" i="30"/>
  <c r="AE8" i="30"/>
  <c r="R8" i="30"/>
  <c r="M8" i="30"/>
  <c r="O8" i="30" s="1"/>
  <c r="J8" i="30"/>
  <c r="AE7" i="30"/>
  <c r="Z7" i="30"/>
  <c r="R7" i="30"/>
  <c r="M7" i="30"/>
  <c r="O7" i="30" s="1"/>
  <c r="J7" i="30"/>
  <c r="AE6" i="30"/>
  <c r="Z6" i="30"/>
  <c r="R6" i="30"/>
  <c r="M6" i="30"/>
  <c r="O6" i="30" s="1"/>
  <c r="J6" i="30"/>
  <c r="V29" i="26" l="1"/>
  <c r="V26" i="30"/>
  <c r="S6" i="30"/>
  <c r="S35" i="30"/>
  <c r="V20" i="30"/>
  <c r="W20" i="30" s="1"/>
  <c r="V19" i="30"/>
  <c r="Y19" i="30" s="1"/>
  <c r="V20" i="26"/>
  <c r="V21" i="30"/>
  <c r="W21" i="30" s="1"/>
  <c r="S12" i="30"/>
  <c r="S9" i="30"/>
  <c r="V28" i="30"/>
  <c r="W28" i="30" s="1"/>
  <c r="V27" i="30"/>
  <c r="V33" i="30"/>
  <c r="W33" i="30" s="1"/>
  <c r="S14" i="30"/>
  <c r="S10" i="30"/>
  <c r="S15" i="30"/>
  <c r="S16" i="30"/>
  <c r="S8" i="30"/>
  <c r="S13" i="30"/>
  <c r="U35" i="30"/>
  <c r="U25" i="30"/>
  <c r="V25" i="30" s="1"/>
  <c r="U24" i="30"/>
  <c r="V24" i="30" s="1"/>
  <c r="Y24" i="30" s="1"/>
  <c r="S18" i="30"/>
  <c r="U15" i="30"/>
  <c r="U6" i="30"/>
  <c r="V32" i="30"/>
  <c r="S17" i="30"/>
  <c r="S7" i="30"/>
  <c r="V28" i="26"/>
  <c r="W28" i="26" s="1"/>
  <c r="V30" i="26"/>
  <c r="V31" i="26"/>
  <c r="Y31" i="26" s="1"/>
  <c r="V21" i="26"/>
  <c r="W21" i="26" s="1"/>
  <c r="V34" i="26"/>
  <c r="W34" i="26" s="1"/>
  <c r="V15" i="26"/>
  <c r="Y15" i="26" s="1"/>
  <c r="V41" i="26"/>
  <c r="W41" i="26" s="1"/>
  <c r="V35" i="26"/>
  <c r="W35" i="26" s="1"/>
  <c r="V37" i="26"/>
  <c r="W37" i="26" s="1"/>
  <c r="V39" i="26"/>
  <c r="V42" i="26"/>
  <c r="V36" i="26"/>
  <c r="V32" i="26"/>
  <c r="V38" i="26"/>
  <c r="U23" i="26"/>
  <c r="V23" i="26" s="1"/>
  <c r="U33" i="26"/>
  <c r="V33" i="26" s="1"/>
  <c r="V40" i="26"/>
  <c r="U19" i="26"/>
  <c r="V19" i="26" s="1"/>
  <c r="U23" i="30"/>
  <c r="V23" i="30" s="1"/>
  <c r="Y23" i="30" s="1"/>
  <c r="U22" i="30"/>
  <c r="V22" i="30" s="1"/>
  <c r="U34" i="30"/>
  <c r="V34" i="30" s="1"/>
  <c r="U17" i="30"/>
  <c r="U18" i="30"/>
  <c r="U14" i="30"/>
  <c r="U16" i="30"/>
  <c r="U13" i="30"/>
  <c r="O11" i="30"/>
  <c r="U12" i="30"/>
  <c r="U10" i="30"/>
  <c r="U9" i="30"/>
  <c r="U8" i="30"/>
  <c r="U7" i="30"/>
  <c r="Z15" i="26"/>
  <c r="V35" i="30" l="1"/>
  <c r="W35" i="30" s="1"/>
  <c r="Y20" i="30"/>
  <c r="Y22" i="30"/>
  <c r="W22" i="30"/>
  <c r="V14" i="30"/>
  <c r="Y14" i="30" s="1"/>
  <c r="AA14" i="30" s="1"/>
  <c r="Y28" i="26"/>
  <c r="Z16" i="26"/>
  <c r="Z17" i="26" s="1"/>
  <c r="Z18" i="26" s="1"/>
  <c r="Z19" i="26" s="1"/>
  <c r="Z20" i="26" s="1"/>
  <c r="Z21" i="26" s="1"/>
  <c r="Z23" i="26" s="1"/>
  <c r="Z24" i="26" s="1"/>
  <c r="Z25" i="26" s="1"/>
  <c r="Z26" i="26" s="1"/>
  <c r="Z27" i="26" s="1"/>
  <c r="Z28" i="26" s="1"/>
  <c r="Z29" i="26" s="1"/>
  <c r="Z30" i="26" s="1"/>
  <c r="Z31" i="26" s="1"/>
  <c r="Z32" i="26" s="1"/>
  <c r="Z33" i="26" s="1"/>
  <c r="Z34" i="26" s="1"/>
  <c r="Z35" i="26" s="1"/>
  <c r="Z36" i="26" s="1"/>
  <c r="Z37" i="26" s="1"/>
  <c r="Z38" i="26" s="1"/>
  <c r="Z39" i="26" s="1"/>
  <c r="Z40" i="26" s="1"/>
  <c r="Z41" i="26" s="1"/>
  <c r="Z42" i="26" s="1"/>
  <c r="AA17" i="26"/>
  <c r="Y21" i="26"/>
  <c r="W31" i="26"/>
  <c r="V9" i="30"/>
  <c r="Y9" i="30" s="1"/>
  <c r="AA9" i="30" s="1"/>
  <c r="V12" i="30"/>
  <c r="W12" i="30" s="1"/>
  <c r="Y28" i="30"/>
  <c r="Y21" i="30"/>
  <c r="V15" i="30"/>
  <c r="Y15" i="30" s="1"/>
  <c r="V16" i="30"/>
  <c r="Y16" i="30" s="1"/>
  <c r="V8" i="30"/>
  <c r="W8" i="30" s="1"/>
  <c r="V10" i="30"/>
  <c r="W10" i="30" s="1"/>
  <c r="V13" i="30"/>
  <c r="W13" i="30" s="1"/>
  <c r="V18" i="30"/>
  <c r="W18" i="30" s="1"/>
  <c r="V7" i="30"/>
  <c r="W7" i="30" s="1"/>
  <c r="S11" i="30"/>
  <c r="V17" i="30"/>
  <c r="Y17" i="30" s="1"/>
  <c r="AA17" i="30" s="1"/>
  <c r="W34" i="30"/>
  <c r="Y41" i="26"/>
  <c r="Y34" i="26"/>
  <c r="Y35" i="26"/>
  <c r="W15" i="26"/>
  <c r="AA15" i="26"/>
  <c r="AD15" i="26" s="1"/>
  <c r="Y37" i="26"/>
  <c r="W38" i="26"/>
  <c r="Y38" i="26"/>
  <c r="W32" i="26"/>
  <c r="Y32" i="26"/>
  <c r="W29" i="26"/>
  <c r="Y29" i="26"/>
  <c r="W20" i="26"/>
  <c r="Y20" i="26"/>
  <c r="W36" i="26"/>
  <c r="Y36" i="26"/>
  <c r="W42" i="26"/>
  <c r="Y42" i="26"/>
  <c r="W39" i="26"/>
  <c r="Y39" i="26"/>
  <c r="Y23" i="26"/>
  <c r="W23" i="26"/>
  <c r="W33" i="26"/>
  <c r="Y33" i="26"/>
  <c r="Y19" i="26"/>
  <c r="W19" i="26"/>
  <c r="W30" i="26"/>
  <c r="Y30" i="26"/>
  <c r="W40" i="26"/>
  <c r="Y40" i="26"/>
  <c r="Y34" i="30"/>
  <c r="Y33" i="30"/>
  <c r="W23" i="30"/>
  <c r="W32" i="30"/>
  <c r="Y32" i="30"/>
  <c r="W26" i="30"/>
  <c r="Y26" i="30"/>
  <c r="W24" i="30"/>
  <c r="W25" i="30"/>
  <c r="Y25" i="30"/>
  <c r="W27" i="30"/>
  <c r="Y27" i="30"/>
  <c r="U11" i="30"/>
  <c r="V6" i="30"/>
  <c r="Y6" i="30" s="1"/>
  <c r="AA6" i="30" s="1"/>
  <c r="Y35" i="30" l="1"/>
  <c r="W14" i="30"/>
  <c r="AF15" i="26"/>
  <c r="AA25" i="30"/>
  <c r="AF25" i="30" s="1"/>
  <c r="AA18" i="26"/>
  <c r="AA21" i="26"/>
  <c r="AA16" i="26"/>
  <c r="AD17" i="26"/>
  <c r="AF17" i="26"/>
  <c r="Y13" i="30"/>
  <c r="AA13" i="30" s="1"/>
  <c r="AD13" i="30" s="1"/>
  <c r="AA30" i="30"/>
  <c r="W15" i="30"/>
  <c r="AA29" i="30"/>
  <c r="AD29" i="30" s="1"/>
  <c r="W16" i="30"/>
  <c r="AA19" i="30"/>
  <c r="AA27" i="30"/>
  <c r="AF27" i="30" s="1"/>
  <c r="Y18" i="30"/>
  <c r="AA18" i="30" s="1"/>
  <c r="AD18" i="30" s="1"/>
  <c r="V11" i="30"/>
  <c r="Y11" i="30" s="1"/>
  <c r="AA11" i="30" s="1"/>
  <c r="AA23" i="30"/>
  <c r="AA21" i="30"/>
  <c r="AA24" i="30"/>
  <c r="AD24" i="30" s="1"/>
  <c r="W17" i="30"/>
  <c r="Y10" i="30"/>
  <c r="AA10" i="30" s="1"/>
  <c r="AD10" i="30" s="1"/>
  <c r="AD25" i="30"/>
  <c r="AA28" i="30"/>
  <c r="AA26" i="30"/>
  <c r="AA20" i="30"/>
  <c r="AA22" i="30"/>
  <c r="AD22" i="30" s="1"/>
  <c r="Y8" i="30"/>
  <c r="AA8" i="30" s="1"/>
  <c r="AF8" i="30" s="1"/>
  <c r="W9" i="30"/>
  <c r="AD17" i="30"/>
  <c r="AF17" i="30"/>
  <c r="AA15" i="30"/>
  <c r="AF15" i="30" s="1"/>
  <c r="AA16" i="30"/>
  <c r="W6" i="30"/>
  <c r="AD14" i="30"/>
  <c r="AF14" i="30"/>
  <c r="Y12" i="30"/>
  <c r="AA12" i="30" s="1"/>
  <c r="AD12" i="30" s="1"/>
  <c r="Y7" i="30"/>
  <c r="AA7" i="30" s="1"/>
  <c r="AF7" i="30" s="1"/>
  <c r="AD9" i="30"/>
  <c r="AF9" i="30"/>
  <c r="AD6" i="30"/>
  <c r="AF6" i="30"/>
  <c r="AF29" i="30" l="1"/>
  <c r="AF13" i="30"/>
  <c r="AA31" i="30"/>
  <c r="AD18" i="26"/>
  <c r="AF18" i="26"/>
  <c r="AA19" i="26"/>
  <c r="AA28" i="26"/>
  <c r="AD28" i="26" s="1"/>
  <c r="AD21" i="26"/>
  <c r="AF21" i="26"/>
  <c r="AD16" i="26"/>
  <c r="AF16" i="26"/>
  <c r="AA33" i="30"/>
  <c r="W11" i="30"/>
  <c r="AD30" i="30"/>
  <c r="AF30" i="30"/>
  <c r="AD27" i="30"/>
  <c r="AD19" i="30"/>
  <c r="AF19" i="30"/>
  <c r="AF21" i="30"/>
  <c r="AD21" i="30"/>
  <c r="AF23" i="30"/>
  <c r="AF24" i="30"/>
  <c r="AD8" i="30"/>
  <c r="AF10" i="30"/>
  <c r="AA30" i="26"/>
  <c r="AD30" i="26" s="1"/>
  <c r="AD15" i="30"/>
  <c r="AF22" i="30"/>
  <c r="AF26" i="30"/>
  <c r="AD26" i="30"/>
  <c r="AF28" i="30"/>
  <c r="AD28" i="30"/>
  <c r="AF20" i="30"/>
  <c r="AD20" i="30"/>
  <c r="AF18" i="30"/>
  <c r="AD16" i="30"/>
  <c r="AF16" i="30"/>
  <c r="AF12" i="30"/>
  <c r="AD7" i="30"/>
  <c r="AD11" i="30"/>
  <c r="AF11" i="30"/>
  <c r="AA32" i="26" l="1"/>
  <c r="AD32" i="26" s="1"/>
  <c r="AA35" i="30"/>
  <c r="AF35" i="30" s="1"/>
  <c r="AD31" i="30"/>
  <c r="AF31" i="30"/>
  <c r="AA27" i="26"/>
  <c r="AA25" i="26"/>
  <c r="AF28" i="26"/>
  <c r="AD19" i="26"/>
  <c r="AF19" i="26"/>
  <c r="AA20" i="26"/>
  <c r="AF33" i="30"/>
  <c r="AD33" i="30"/>
  <c r="AF30" i="26"/>
  <c r="AA34" i="26"/>
  <c r="AD34" i="26" s="1"/>
  <c r="AA32" i="30"/>
  <c r="AF32" i="26" l="1"/>
  <c r="AD35" i="30"/>
  <c r="AA34" i="30"/>
  <c r="AF34" i="30" s="1"/>
  <c r="AA39" i="30"/>
  <c r="AF39" i="30" s="1"/>
  <c r="AA37" i="30"/>
  <c r="AA26" i="26"/>
  <c r="AA24" i="26"/>
  <c r="AD25" i="26"/>
  <c r="AF25" i="26"/>
  <c r="AD27" i="26"/>
  <c r="AF27" i="26"/>
  <c r="AD20" i="26"/>
  <c r="AF20" i="26"/>
  <c r="AA23" i="26"/>
  <c r="AF32" i="30"/>
  <c r="AD32" i="30"/>
  <c r="AF34" i="26"/>
  <c r="AA36" i="26"/>
  <c r="AD36" i="26" s="1"/>
  <c r="AD34" i="30" l="1"/>
  <c r="AD37" i="30"/>
  <c r="AF37" i="30"/>
  <c r="AA38" i="30"/>
  <c r="AA36" i="30"/>
  <c r="AF24" i="26"/>
  <c r="AD24" i="26"/>
  <c r="AD26" i="26"/>
  <c r="AF26" i="26"/>
  <c r="AF23" i="26"/>
  <c r="AD23" i="26"/>
  <c r="AF36" i="26"/>
  <c r="AA38" i="26"/>
  <c r="AD38" i="26" s="1"/>
  <c r="AD36" i="30" l="1"/>
  <c r="AF36" i="30"/>
  <c r="AF38" i="26"/>
  <c r="AA42" i="26"/>
  <c r="AD42" i="26" s="1"/>
  <c r="AA40" i="26"/>
  <c r="AD40" i="26" s="1"/>
  <c r="AA29" i="26" l="1"/>
  <c r="AF40" i="26"/>
  <c r="AF42" i="26"/>
  <c r="AD29" i="26" l="1"/>
  <c r="AF29" i="26"/>
  <c r="AA31" i="26"/>
  <c r="AD31" i="26" l="1"/>
  <c r="AF31" i="26"/>
  <c r="AA33" i="26"/>
  <c r="AD33" i="26" l="1"/>
  <c r="AF33" i="26"/>
  <c r="AA35" i="26"/>
  <c r="AA37" i="26" l="1"/>
  <c r="AD35" i="26"/>
  <c r="AF35" i="26"/>
  <c r="AD37" i="26" l="1"/>
  <c r="AF37" i="26"/>
  <c r="AA41" i="26"/>
  <c r="AA39" i="26"/>
  <c r="AD39" i="26" l="1"/>
  <c r="AF39" i="26"/>
  <c r="AD41" i="26"/>
  <c r="AF41" i="26"/>
</calcChain>
</file>

<file path=xl/sharedStrings.xml><?xml version="1.0" encoding="utf-8"?>
<sst xmlns="http://schemas.openxmlformats.org/spreadsheetml/2006/main" count="472" uniqueCount="81">
  <si>
    <t xml:space="preserve"> </t>
  </si>
  <si>
    <t>RETAIL</t>
  </si>
  <si>
    <t>Category</t>
  </si>
  <si>
    <t>Dealer 
Margin</t>
  </si>
  <si>
    <t>Scheme 
(Base)</t>
  </si>
  <si>
    <t>FOC</t>
  </si>
  <si>
    <t>Discount  (%)</t>
  </si>
  <si>
    <t>Discount ($)</t>
  </si>
  <si>
    <t>Exchange Rate</t>
  </si>
  <si>
    <t>Brand</t>
  </si>
  <si>
    <t>Remark</t>
  </si>
  <si>
    <t>DEALER</t>
  </si>
  <si>
    <t>Sub-Cat</t>
  </si>
  <si>
    <t>PRODUCT</t>
  </si>
  <si>
    <t>Price/Unit</t>
  </si>
  <si>
    <t>Prict/Ctn</t>
  </si>
  <si>
    <t>Margin/Unit</t>
  </si>
  <si>
    <t>Margin/Ctn</t>
  </si>
  <si>
    <t>Detergent</t>
  </si>
  <si>
    <t>Powder</t>
  </si>
  <si>
    <t>Ora</t>
  </si>
  <si>
    <t>Packaging</t>
  </si>
  <si>
    <t>Size</t>
  </si>
  <si>
    <t>Pouch</t>
  </si>
  <si>
    <t>Bucket</t>
  </si>
  <si>
    <t>Packs</t>
  </si>
  <si>
    <t>Dealer Price</t>
  </si>
  <si>
    <t>Buy-in</t>
  </si>
  <si>
    <t>Recomm. Sell-out</t>
  </si>
  <si>
    <t>Mark-up</t>
  </si>
  <si>
    <t>Sell-out ($)</t>
  </si>
  <si>
    <t>Sell-out (KHR)</t>
  </si>
  <si>
    <t>Price / 100ml</t>
  </si>
  <si>
    <t>Price / 100g</t>
  </si>
  <si>
    <t>Net Buy-in</t>
  </si>
  <si>
    <t>WHOLESALE BUY-IN</t>
  </si>
  <si>
    <t>WHOLESALE SELL-OUT</t>
  </si>
  <si>
    <t>Weight per ctn</t>
  </si>
  <si>
    <t>Bottle</t>
  </si>
  <si>
    <t>POWDER DETERGENT</t>
  </si>
  <si>
    <t>Direct Disc. (%)</t>
  </si>
  <si>
    <t>Direct Disc. ($)</t>
  </si>
  <si>
    <t>COOKING OIL</t>
  </si>
  <si>
    <t>Cooking Oil</t>
  </si>
  <si>
    <t>Soybean</t>
  </si>
  <si>
    <t>Health Pro</t>
  </si>
  <si>
    <t>Healthy Chef</t>
  </si>
  <si>
    <t>Sunflower</t>
  </si>
  <si>
    <t>Healthy Plus</t>
  </si>
  <si>
    <t>Olive</t>
  </si>
  <si>
    <t>Olive Blended</t>
  </si>
  <si>
    <t xml:space="preserve">Cook </t>
  </si>
  <si>
    <t>Super Cooks</t>
  </si>
  <si>
    <t>Simply</t>
  </si>
  <si>
    <t>Palm</t>
  </si>
  <si>
    <t>Orchid</t>
  </si>
  <si>
    <t>Cailan</t>
  </si>
  <si>
    <t>Olein</t>
  </si>
  <si>
    <t>Viso</t>
  </si>
  <si>
    <t>Lix</t>
  </si>
  <si>
    <t>CS</t>
  </si>
  <si>
    <t>Power 100</t>
  </si>
  <si>
    <t>ORIE</t>
  </si>
  <si>
    <t>Wassen</t>
  </si>
  <si>
    <t>Cherin</t>
  </si>
  <si>
    <t>Fanlove</t>
  </si>
  <si>
    <t>Wim Wim</t>
  </si>
  <si>
    <t>24.11.2025</t>
  </si>
  <si>
    <t>V17</t>
  </si>
  <si>
    <t>Vegetable</t>
  </si>
  <si>
    <t>Happi Koki</t>
  </si>
  <si>
    <t>KEN Cook</t>
  </si>
  <si>
    <t>Corn</t>
  </si>
  <si>
    <t>សន្ទក់</t>
  </si>
  <si>
    <t>Buy 12 ctn free 1 ctn of orchid 5L )</t>
  </si>
  <si>
    <t>Buy 12 ctn free 1 ctn of orchid 1.5L )</t>
  </si>
  <si>
    <t>សុខៈ</t>
  </si>
  <si>
    <t>Price/Ctn</t>
  </si>
  <si>
    <t>Date</t>
  </si>
  <si>
    <t>Address</t>
  </si>
  <si>
    <t>ចំការគ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</si>
</sst>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[$$-409]* #,##0.00_ ;_-[$$-409]* \-#,##0.00\ ;_-[$$-409]* &quot;-&quot;??_ ;_-@_ "/>
    <numFmt numFmtId="165" formatCode="_([$KHR]\ * #,##0.00_);_([$KHR]\ * \(#,##0.00\);_([$KHR]\ * &quot;-&quot;??_);_(@_)"/>
    <numFmt numFmtId="166" formatCode="_([$KHR]\ * #,##0_);_([$KHR]\ * \(#,##0\);_([$KHR]\ * &quot;-&quot;??_);_(@_)"/>
    <numFmt numFmtId="169" formatCode="[$-409]d\-mmm\-yy;@"/>
    <numFmt numFmtId="170" formatCode="0\ &quot;ml&quot;"/>
    <numFmt numFmtId="171" formatCode="0\ &quot;g&quot;"/>
    <numFmt numFmtId="172" formatCode="0\ &quot;L&quot;"/>
    <numFmt numFmtId="173" formatCode="0.0%"/>
    <numFmt numFmtId="177" formatCode="0\ &quot;kg&quot;\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entury Gothic"/>
      <family val="2"/>
    </font>
    <font>
      <sz val="9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rgb="FF00B050"/>
      <name val="Arial Narrow"/>
      <family val="2"/>
    </font>
    <font>
      <sz val="9"/>
      <color rgb="FFFF0000"/>
      <name val="Arial Narrow"/>
      <family val="2"/>
    </font>
    <font>
      <b/>
      <sz val="10"/>
      <color theme="0"/>
      <name val="Arial Narrow"/>
      <family val="2"/>
    </font>
    <font>
      <b/>
      <sz val="8"/>
      <color theme="0"/>
      <name val="Arial Narrow"/>
      <family val="2"/>
    </font>
    <font>
      <b/>
      <sz val="9"/>
      <color theme="0"/>
      <name val="Arial Narrow"/>
      <family val="2"/>
    </font>
    <font>
      <sz val="8"/>
      <name val="Calibri"/>
      <family val="2"/>
      <scheme val="minor"/>
    </font>
    <font>
      <b/>
      <sz val="14"/>
      <color theme="0"/>
      <name val="Arial Narrow"/>
      <family val="2"/>
    </font>
  </fonts>
  <fills count="2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10">
    <xf numFmtId="0" fontId="0" fillId="0" borderId="0" xfId="0"/>
    <xf numFmtId="0" fontId="3" fillId="0" borderId="0" xfId="0" applyFont="1"/>
    <xf numFmtId="0" fontId="2" fillId="0" borderId="0" xfId="0" applyFont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4" applyNumberFormat="1" applyFont="1"/>
    <xf numFmtId="1" fontId="5" fillId="0" borderId="0" xfId="0" applyNumberFormat="1" applyFont="1" applyAlignment="1">
      <alignment horizontal="center" vertical="center"/>
    </xf>
    <xf numFmtId="0" fontId="5" fillId="0" borderId="0" xfId="0" applyFont="1"/>
    <xf numFmtId="164" fontId="5" fillId="0" borderId="0" xfId="4" applyNumberFormat="1" applyFont="1" applyAlignment="1">
      <alignment horizontal="center" vertical="center"/>
    </xf>
    <xf numFmtId="165" fontId="5" fillId="0" borderId="0" xfId="0" applyNumberFormat="1" applyFont="1"/>
    <xf numFmtId="166" fontId="5" fillId="0" borderId="0" xfId="0" applyNumberFormat="1" applyFont="1" applyAlignment="1">
      <alignment vertical="center"/>
    </xf>
    <xf numFmtId="164" fontId="6" fillId="0" borderId="0" xfId="4" applyNumberFormat="1" applyFont="1" applyAlignment="1">
      <alignment horizontal="left" vertical="center" indent="1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164" fontId="6" fillId="0" borderId="0" xfId="4" applyNumberFormat="1" applyFont="1" applyAlignment="1">
      <alignment horizontal="center" vertical="center"/>
    </xf>
    <xf numFmtId="165" fontId="6" fillId="0" borderId="0" xfId="0" applyNumberFormat="1" applyFont="1" applyAlignment="1">
      <alignment horizontal="left" vertical="center" indent="1"/>
    </xf>
    <xf numFmtId="166" fontId="6" fillId="0" borderId="0" xfId="0" applyNumberFormat="1" applyFont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5" fillId="9" borderId="0" xfId="0" applyFont="1" applyFill="1" applyAlignment="1">
      <alignment horizontal="center" vertical="center"/>
    </xf>
    <xf numFmtId="164" fontId="9" fillId="7" borderId="5" xfId="4" applyNumberFormat="1" applyFont="1" applyFill="1" applyBorder="1" applyAlignment="1">
      <alignment horizontal="center" vertical="center" wrapText="1"/>
    </xf>
    <xf numFmtId="164" fontId="10" fillId="11" borderId="6" xfId="4" applyNumberFormat="1" applyFont="1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horizontal="center" vertical="center" wrapText="1"/>
    </xf>
    <xf numFmtId="1" fontId="10" fillId="11" borderId="5" xfId="0" applyNumberFormat="1" applyFont="1" applyFill="1" applyBorder="1" applyAlignment="1">
      <alignment horizontal="center" vertical="center" wrapText="1"/>
    </xf>
    <xf numFmtId="0" fontId="10" fillId="11" borderId="5" xfId="0" applyFont="1" applyFill="1" applyBorder="1" applyAlignment="1">
      <alignment horizontal="center" vertical="center" wrapText="1"/>
    </xf>
    <xf numFmtId="164" fontId="10" fillId="11" borderId="5" xfId="4" applyNumberFormat="1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vertical="center"/>
    </xf>
    <xf numFmtId="0" fontId="10" fillId="6" borderId="3" xfId="0" applyFont="1" applyFill="1" applyBorder="1" applyAlignment="1">
      <alignment vertical="center"/>
    </xf>
    <xf numFmtId="0" fontId="10" fillId="6" borderId="3" xfId="0" applyFont="1" applyFill="1" applyBorder="1" applyAlignment="1">
      <alignment horizontal="center" vertical="center"/>
    </xf>
    <xf numFmtId="164" fontId="10" fillId="7" borderId="2" xfId="4" applyNumberFormat="1" applyFont="1" applyFill="1" applyBorder="1" applyAlignment="1">
      <alignment horizontal="left" vertical="center"/>
    </xf>
    <xf numFmtId="164" fontId="10" fillId="7" borderId="3" xfId="4" applyNumberFormat="1" applyFont="1" applyFill="1" applyBorder="1" applyAlignment="1">
      <alignment horizontal="center" vertical="center"/>
    </xf>
    <xf numFmtId="165" fontId="10" fillId="11" borderId="12" xfId="0" applyNumberFormat="1" applyFont="1" applyFill="1" applyBorder="1" applyAlignment="1">
      <alignment horizontal="left" vertical="center"/>
    </xf>
    <xf numFmtId="165" fontId="10" fillId="11" borderId="8" xfId="0" applyNumberFormat="1" applyFont="1" applyFill="1" applyBorder="1" applyAlignment="1">
      <alignment horizontal="left" vertical="center"/>
    </xf>
    <xf numFmtId="1" fontId="10" fillId="11" borderId="8" xfId="0" applyNumberFormat="1" applyFont="1" applyFill="1" applyBorder="1" applyAlignment="1">
      <alignment horizontal="center" vertical="center"/>
    </xf>
    <xf numFmtId="0" fontId="10" fillId="11" borderId="8" xfId="0" applyFont="1" applyFill="1" applyBorder="1" applyAlignment="1">
      <alignment horizontal="center" vertical="center"/>
    </xf>
    <xf numFmtId="164" fontId="10" fillId="11" borderId="8" xfId="4" applyNumberFormat="1" applyFont="1" applyFill="1" applyBorder="1" applyAlignment="1">
      <alignment horizontal="center" vertical="center"/>
    </xf>
    <xf numFmtId="166" fontId="10" fillId="8" borderId="3" xfId="0" applyNumberFormat="1" applyFont="1" applyFill="1" applyBorder="1" applyAlignment="1">
      <alignment horizontal="left" vertical="center"/>
    </xf>
    <xf numFmtId="166" fontId="10" fillId="8" borderId="3" xfId="0" applyNumberFormat="1" applyFont="1" applyFill="1" applyBorder="1" applyAlignment="1">
      <alignment horizontal="center" vertical="center"/>
    </xf>
    <xf numFmtId="166" fontId="10" fillId="8" borderId="4" xfId="0" applyNumberFormat="1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 wrapText="1"/>
    </xf>
    <xf numFmtId="164" fontId="10" fillId="7" borderId="5" xfId="4" applyNumberFormat="1" applyFont="1" applyFill="1" applyBorder="1" applyAlignment="1">
      <alignment horizontal="center" vertical="center" wrapText="1"/>
    </xf>
    <xf numFmtId="164" fontId="10" fillId="7" borderId="10" xfId="4" applyNumberFormat="1" applyFont="1" applyFill="1" applyBorder="1" applyAlignment="1">
      <alignment horizontal="center" vertical="center" wrapText="1"/>
    </xf>
    <xf numFmtId="165" fontId="10" fillId="8" borderId="5" xfId="0" applyNumberFormat="1" applyFont="1" applyFill="1" applyBorder="1" applyAlignment="1">
      <alignment horizontal="center" vertical="center" wrapText="1"/>
    </xf>
    <xf numFmtId="165" fontId="10" fillId="10" borderId="5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165" fontId="10" fillId="10" borderId="8" xfId="0" applyNumberFormat="1" applyFont="1" applyFill="1" applyBorder="1" applyAlignment="1">
      <alignment horizontal="left" vertical="center"/>
    </xf>
    <xf numFmtId="166" fontId="10" fillId="10" borderId="8" xfId="0" applyNumberFormat="1" applyFont="1" applyFill="1" applyBorder="1" applyAlignment="1">
      <alignment horizontal="center" vertical="center"/>
    </xf>
    <xf numFmtId="165" fontId="10" fillId="10" borderId="8" xfId="0" applyNumberFormat="1" applyFont="1" applyFill="1" applyBorder="1" applyAlignment="1">
      <alignment horizontal="center" vertical="center"/>
    </xf>
    <xf numFmtId="165" fontId="10" fillId="10" borderId="9" xfId="0" applyNumberFormat="1" applyFont="1" applyFill="1" applyBorder="1" applyAlignment="1">
      <alignment horizontal="center" vertical="center"/>
    </xf>
    <xf numFmtId="165" fontId="10" fillId="10" borderId="7" xfId="0" applyNumberFormat="1" applyFont="1" applyFill="1" applyBorder="1" applyAlignment="1">
      <alignment horizontal="left" vertical="center"/>
    </xf>
    <xf numFmtId="164" fontId="10" fillId="13" borderId="5" xfId="4" applyNumberFormat="1" applyFont="1" applyFill="1" applyBorder="1" applyAlignment="1">
      <alignment horizontal="center" vertical="center" wrapText="1"/>
    </xf>
    <xf numFmtId="0" fontId="8" fillId="14" borderId="0" xfId="0" applyFont="1" applyFill="1" applyAlignment="1">
      <alignment horizontal="left" vertical="center"/>
    </xf>
    <xf numFmtId="0" fontId="5" fillId="14" borderId="0" xfId="0" applyFont="1" applyFill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 wrapText="1"/>
    </xf>
    <xf numFmtId="164" fontId="4" fillId="15" borderId="1" xfId="4" applyNumberFormat="1" applyFont="1" applyFill="1" applyBorder="1" applyAlignment="1">
      <alignment horizontal="right" vertical="center" wrapText="1" indent="1"/>
    </xf>
    <xf numFmtId="164" fontId="4" fillId="15" borderId="1" xfId="4" applyNumberFormat="1" applyFont="1" applyFill="1" applyBorder="1" applyAlignment="1">
      <alignment horizontal="center" vertical="center" wrapText="1"/>
    </xf>
    <xf numFmtId="164" fontId="7" fillId="15" borderId="1" xfId="4" applyNumberFormat="1" applyFont="1" applyFill="1" applyBorder="1" applyAlignment="1">
      <alignment horizontal="center" vertical="center" wrapText="1"/>
    </xf>
    <xf numFmtId="164" fontId="7" fillId="15" borderId="5" xfId="4" applyNumberFormat="1" applyFont="1" applyFill="1" applyBorder="1" applyAlignment="1">
      <alignment horizontal="center"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1" fontId="4" fillId="15" borderId="1" xfId="1" applyNumberFormat="1" applyFont="1" applyFill="1" applyBorder="1" applyAlignment="1">
      <alignment horizontal="center" vertical="center" wrapText="1"/>
    </xf>
    <xf numFmtId="10" fontId="4" fillId="15" borderId="1" xfId="3" applyNumberFormat="1" applyFont="1" applyFill="1" applyBorder="1" applyAlignment="1">
      <alignment horizontal="center" vertical="center" wrapText="1"/>
    </xf>
    <xf numFmtId="44" fontId="4" fillId="15" borderId="1" xfId="2" applyFont="1" applyFill="1" applyBorder="1" applyAlignment="1">
      <alignment horizontal="center" vertical="center" wrapText="1"/>
    </xf>
    <xf numFmtId="166" fontId="4" fillId="15" borderId="1" xfId="4" applyNumberFormat="1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 wrapText="1"/>
    </xf>
    <xf numFmtId="164" fontId="4" fillId="16" borderId="1" xfId="4" applyNumberFormat="1" applyFont="1" applyFill="1" applyBorder="1" applyAlignment="1">
      <alignment horizontal="right" vertical="center" wrapText="1" indent="1"/>
    </xf>
    <xf numFmtId="164" fontId="4" fillId="16" borderId="1" xfId="4" applyNumberFormat="1" applyFont="1" applyFill="1" applyBorder="1" applyAlignment="1">
      <alignment horizontal="center" vertical="center" wrapText="1"/>
    </xf>
    <xf numFmtId="164" fontId="7" fillId="16" borderId="1" xfId="4" applyNumberFormat="1" applyFont="1" applyFill="1" applyBorder="1" applyAlignment="1">
      <alignment horizontal="center" vertical="center" wrapText="1"/>
    </xf>
    <xf numFmtId="164" fontId="7" fillId="16" borderId="5" xfId="4" applyNumberFormat="1" applyFont="1" applyFill="1" applyBorder="1" applyAlignment="1">
      <alignment horizontal="center" vertical="center" wrapText="1"/>
    </xf>
    <xf numFmtId="1" fontId="4" fillId="16" borderId="1" xfId="0" applyNumberFormat="1" applyFont="1" applyFill="1" applyBorder="1" applyAlignment="1">
      <alignment horizontal="center" vertical="center" wrapText="1"/>
    </xf>
    <xf numFmtId="10" fontId="4" fillId="16" borderId="1" xfId="3" applyNumberFormat="1" applyFont="1" applyFill="1" applyBorder="1" applyAlignment="1">
      <alignment horizontal="center" vertical="center" wrapText="1"/>
    </xf>
    <xf numFmtId="173" fontId="4" fillId="16" borderId="1" xfId="3" applyNumberFormat="1" applyFont="1" applyFill="1" applyBorder="1" applyAlignment="1">
      <alignment horizontal="center" vertical="center" wrapText="1"/>
    </xf>
    <xf numFmtId="44" fontId="4" fillId="16" borderId="1" xfId="2" applyFont="1" applyFill="1" applyBorder="1" applyAlignment="1">
      <alignment horizontal="center" vertical="center" wrapText="1"/>
    </xf>
    <xf numFmtId="166" fontId="4" fillId="16" borderId="1" xfId="4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64" fontId="7" fillId="4" borderId="5" xfId="4" applyNumberFormat="1" applyFont="1" applyFill="1" applyBorder="1" applyAlignment="1">
      <alignment horizontal="center" vertical="center" wrapText="1"/>
    </xf>
    <xf numFmtId="1" fontId="4" fillId="4" borderId="1" xfId="1" applyNumberFormat="1" applyFont="1" applyFill="1" applyBorder="1" applyAlignment="1">
      <alignment horizontal="center" vertical="center" wrapText="1"/>
    </xf>
    <xf numFmtId="10" fontId="4" fillId="4" borderId="1" xfId="3" applyNumberFormat="1" applyFont="1" applyFill="1" applyBorder="1" applyAlignment="1">
      <alignment horizontal="center" vertical="center" wrapText="1"/>
    </xf>
    <xf numFmtId="164" fontId="4" fillId="4" borderId="1" xfId="4" applyNumberFormat="1" applyFont="1" applyFill="1" applyBorder="1" applyAlignment="1">
      <alignment horizontal="center" vertical="center" wrapText="1"/>
    </xf>
    <xf numFmtId="173" fontId="4" fillId="4" borderId="1" xfId="3" applyNumberFormat="1" applyFont="1" applyFill="1" applyBorder="1" applyAlignment="1">
      <alignment horizontal="center" vertical="center" wrapText="1"/>
    </xf>
    <xf numFmtId="164" fontId="4" fillId="4" borderId="1" xfId="4" applyNumberFormat="1" applyFont="1" applyFill="1" applyBorder="1" applyAlignment="1">
      <alignment horizontal="right" vertical="center" wrapText="1" indent="1"/>
    </xf>
    <xf numFmtId="164" fontId="7" fillId="4" borderId="1" xfId="4" applyNumberFormat="1" applyFont="1" applyFill="1" applyBorder="1" applyAlignment="1">
      <alignment horizontal="center" vertical="center" wrapText="1"/>
    </xf>
    <xf numFmtId="44" fontId="4" fillId="4" borderId="1" xfId="2" applyFont="1" applyFill="1" applyBorder="1" applyAlignment="1">
      <alignment horizontal="center" vertical="center" wrapText="1"/>
    </xf>
    <xf numFmtId="166" fontId="4" fillId="4" borderId="1" xfId="4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164" fontId="7" fillId="5" borderId="5" xfId="4" applyNumberFormat="1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1" fontId="4" fillId="5" borderId="1" xfId="1" applyNumberFormat="1" applyFont="1" applyFill="1" applyBorder="1" applyAlignment="1">
      <alignment horizontal="center" vertical="center" wrapText="1"/>
    </xf>
    <xf numFmtId="10" fontId="4" fillId="5" borderId="1" xfId="3" applyNumberFormat="1" applyFont="1" applyFill="1" applyBorder="1" applyAlignment="1">
      <alignment horizontal="center" vertical="center" wrapText="1"/>
    </xf>
    <xf numFmtId="164" fontId="4" fillId="5" borderId="1" xfId="4" applyNumberFormat="1" applyFont="1" applyFill="1" applyBorder="1" applyAlignment="1">
      <alignment horizontal="center" vertical="center" wrapText="1"/>
    </xf>
    <xf numFmtId="173" fontId="4" fillId="5" borderId="1" xfId="3" applyNumberFormat="1" applyFont="1" applyFill="1" applyBorder="1" applyAlignment="1">
      <alignment horizontal="center" vertical="center" wrapText="1"/>
    </xf>
    <xf numFmtId="164" fontId="4" fillId="5" borderId="1" xfId="4" applyNumberFormat="1" applyFont="1" applyFill="1" applyBorder="1" applyAlignment="1">
      <alignment horizontal="right" vertical="center" wrapText="1" indent="1"/>
    </xf>
    <xf numFmtId="164" fontId="7" fillId="5" borderId="1" xfId="4" applyNumberFormat="1" applyFont="1" applyFill="1" applyBorder="1" applyAlignment="1">
      <alignment horizontal="center" vertical="center" wrapText="1"/>
    </xf>
    <xf numFmtId="44" fontId="4" fillId="5" borderId="1" xfId="2" applyFont="1" applyFill="1" applyBorder="1" applyAlignment="1">
      <alignment horizontal="center" vertical="center" wrapText="1"/>
    </xf>
    <xf numFmtId="166" fontId="4" fillId="5" borderId="1" xfId="4" applyNumberFormat="1" applyFont="1" applyFill="1" applyBorder="1" applyAlignment="1">
      <alignment horizontal="center" vertical="center" wrapText="1"/>
    </xf>
    <xf numFmtId="10" fontId="4" fillId="17" borderId="1" xfId="3" applyNumberFormat="1" applyFont="1" applyFill="1" applyBorder="1" applyAlignment="1">
      <alignment horizontal="center" vertical="center" wrapText="1"/>
    </xf>
    <xf numFmtId="169" fontId="5" fillId="4" borderId="1" xfId="0" applyNumberFormat="1" applyFont="1" applyFill="1" applyBorder="1" applyAlignment="1">
      <alignment horizontal="center" vertical="center"/>
    </xf>
    <xf numFmtId="171" fontId="5" fillId="4" borderId="1" xfId="0" applyNumberFormat="1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169" fontId="5" fillId="15" borderId="1" xfId="0" applyNumberFormat="1" applyFont="1" applyFill="1" applyBorder="1" applyAlignment="1">
      <alignment horizontal="center" vertical="center"/>
    </xf>
    <xf numFmtId="171" fontId="5" fillId="15" borderId="1" xfId="0" applyNumberFormat="1" applyFont="1" applyFill="1" applyBorder="1" applyAlignment="1">
      <alignment horizontal="center" vertical="center" wrapText="1"/>
    </xf>
    <xf numFmtId="10" fontId="7" fillId="15" borderId="1" xfId="3" applyNumberFormat="1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 wrapText="1"/>
    </xf>
    <xf numFmtId="171" fontId="5" fillId="18" borderId="1" xfId="0" applyNumberFormat="1" applyFont="1" applyFill="1" applyBorder="1" applyAlignment="1">
      <alignment horizontal="center" vertical="center" wrapText="1"/>
    </xf>
    <xf numFmtId="164" fontId="4" fillId="18" borderId="1" xfId="4" applyNumberFormat="1" applyFont="1" applyFill="1" applyBorder="1" applyAlignment="1">
      <alignment horizontal="right" vertical="center" wrapText="1" indent="1"/>
    </xf>
    <xf numFmtId="164" fontId="4" fillId="18" borderId="1" xfId="4" applyNumberFormat="1" applyFont="1" applyFill="1" applyBorder="1" applyAlignment="1">
      <alignment horizontal="center" vertical="center" wrapText="1"/>
    </xf>
    <xf numFmtId="164" fontId="7" fillId="18" borderId="1" xfId="4" applyNumberFormat="1" applyFont="1" applyFill="1" applyBorder="1" applyAlignment="1">
      <alignment horizontal="center" vertical="center" wrapText="1"/>
    </xf>
    <xf numFmtId="164" fontId="7" fillId="18" borderId="5" xfId="4" applyNumberFormat="1" applyFont="1" applyFill="1" applyBorder="1" applyAlignment="1">
      <alignment horizontal="center" vertical="center" wrapText="1"/>
    </xf>
    <xf numFmtId="1" fontId="4" fillId="18" borderId="1" xfId="0" applyNumberFormat="1" applyFont="1" applyFill="1" applyBorder="1" applyAlignment="1">
      <alignment horizontal="center" vertical="center" wrapText="1"/>
    </xf>
    <xf numFmtId="1" fontId="4" fillId="18" borderId="1" xfId="1" applyNumberFormat="1" applyFont="1" applyFill="1" applyBorder="1" applyAlignment="1">
      <alignment horizontal="center" vertical="center" wrapText="1"/>
    </xf>
    <xf numFmtId="10" fontId="4" fillId="18" borderId="1" xfId="3" applyNumberFormat="1" applyFont="1" applyFill="1" applyBorder="1" applyAlignment="1">
      <alignment horizontal="center" vertical="center" wrapText="1"/>
    </xf>
    <xf numFmtId="173" fontId="4" fillId="18" borderId="1" xfId="3" applyNumberFormat="1" applyFont="1" applyFill="1" applyBorder="1" applyAlignment="1">
      <alignment horizontal="center" vertical="center" wrapText="1"/>
    </xf>
    <xf numFmtId="44" fontId="4" fillId="18" borderId="1" xfId="2" applyFont="1" applyFill="1" applyBorder="1" applyAlignment="1">
      <alignment horizontal="center" vertical="center" wrapText="1"/>
    </xf>
    <xf numFmtId="166" fontId="4" fillId="18" borderId="1" xfId="4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 wrapText="1"/>
    </xf>
    <xf numFmtId="171" fontId="5" fillId="12" borderId="1" xfId="0" applyNumberFormat="1" applyFont="1" applyFill="1" applyBorder="1" applyAlignment="1">
      <alignment horizontal="center" vertical="center" wrapText="1"/>
    </xf>
    <xf numFmtId="164" fontId="4" fillId="12" borderId="1" xfId="4" applyNumberFormat="1" applyFont="1" applyFill="1" applyBorder="1" applyAlignment="1">
      <alignment horizontal="right" vertical="center" wrapText="1" indent="1"/>
    </xf>
    <xf numFmtId="164" fontId="4" fillId="12" borderId="1" xfId="4" applyNumberFormat="1" applyFont="1" applyFill="1" applyBorder="1" applyAlignment="1">
      <alignment horizontal="center" vertical="center" wrapText="1"/>
    </xf>
    <xf numFmtId="164" fontId="7" fillId="12" borderId="1" xfId="4" applyNumberFormat="1" applyFont="1" applyFill="1" applyBorder="1" applyAlignment="1">
      <alignment horizontal="center" vertical="center" wrapText="1"/>
    </xf>
    <xf numFmtId="164" fontId="7" fillId="12" borderId="5" xfId="4" applyNumberFormat="1" applyFont="1" applyFill="1" applyBorder="1" applyAlignment="1">
      <alignment horizontal="center" vertical="center" wrapText="1"/>
    </xf>
    <xf numFmtId="1" fontId="4" fillId="12" borderId="1" xfId="0" applyNumberFormat="1" applyFont="1" applyFill="1" applyBorder="1" applyAlignment="1">
      <alignment horizontal="center" vertical="center" wrapText="1"/>
    </xf>
    <xf numFmtId="1" fontId="4" fillId="12" borderId="1" xfId="1" applyNumberFormat="1" applyFont="1" applyFill="1" applyBorder="1" applyAlignment="1">
      <alignment horizontal="center" vertical="center" wrapText="1"/>
    </xf>
    <xf numFmtId="10" fontId="4" fillId="12" borderId="1" xfId="3" applyNumberFormat="1" applyFont="1" applyFill="1" applyBorder="1" applyAlignment="1">
      <alignment horizontal="center" vertical="center" wrapText="1"/>
    </xf>
    <xf numFmtId="173" fontId="4" fillId="12" borderId="1" xfId="3" applyNumberFormat="1" applyFont="1" applyFill="1" applyBorder="1" applyAlignment="1">
      <alignment horizontal="center" vertical="center" wrapText="1"/>
    </xf>
    <xf numFmtId="44" fontId="4" fillId="12" borderId="1" xfId="2" applyFont="1" applyFill="1" applyBorder="1" applyAlignment="1">
      <alignment horizontal="center" vertical="center" wrapText="1"/>
    </xf>
    <xf numFmtId="166" fontId="4" fillId="12" borderId="1" xfId="4" applyNumberFormat="1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 wrapText="1"/>
    </xf>
    <xf numFmtId="171" fontId="5" fillId="19" borderId="1" xfId="0" applyNumberFormat="1" applyFont="1" applyFill="1" applyBorder="1" applyAlignment="1">
      <alignment horizontal="center" vertical="center" wrapText="1"/>
    </xf>
    <xf numFmtId="164" fontId="4" fillId="19" borderId="1" xfId="4" applyNumberFormat="1" applyFont="1" applyFill="1" applyBorder="1" applyAlignment="1">
      <alignment horizontal="right" vertical="center" wrapText="1" indent="1"/>
    </xf>
    <xf numFmtId="164" fontId="4" fillId="19" borderId="1" xfId="4" applyNumberFormat="1" applyFont="1" applyFill="1" applyBorder="1" applyAlignment="1">
      <alignment horizontal="center" vertical="center" wrapText="1"/>
    </xf>
    <xf numFmtId="164" fontId="7" fillId="19" borderId="1" xfId="4" applyNumberFormat="1" applyFont="1" applyFill="1" applyBorder="1" applyAlignment="1">
      <alignment horizontal="center" vertical="center" wrapText="1"/>
    </xf>
    <xf numFmtId="164" fontId="7" fillId="19" borderId="5" xfId="4" applyNumberFormat="1" applyFont="1" applyFill="1" applyBorder="1" applyAlignment="1">
      <alignment horizontal="center" vertical="center" wrapText="1"/>
    </xf>
    <xf numFmtId="1" fontId="4" fillId="19" borderId="1" xfId="1" applyNumberFormat="1" applyFont="1" applyFill="1" applyBorder="1" applyAlignment="1">
      <alignment horizontal="center" vertical="center" wrapText="1"/>
    </xf>
    <xf numFmtId="10" fontId="4" fillId="19" borderId="1" xfId="3" applyNumberFormat="1" applyFont="1" applyFill="1" applyBorder="1" applyAlignment="1">
      <alignment horizontal="center" vertical="center" wrapText="1"/>
    </xf>
    <xf numFmtId="173" fontId="4" fillId="19" borderId="1" xfId="3" applyNumberFormat="1" applyFont="1" applyFill="1" applyBorder="1" applyAlignment="1">
      <alignment horizontal="center" vertical="center" wrapText="1"/>
    </xf>
    <xf numFmtId="44" fontId="4" fillId="19" borderId="1" xfId="2" applyFont="1" applyFill="1" applyBorder="1" applyAlignment="1">
      <alignment horizontal="center" vertical="center" wrapText="1"/>
    </xf>
    <xf numFmtId="166" fontId="4" fillId="19" borderId="1" xfId="4" applyNumberFormat="1" applyFont="1" applyFill="1" applyBorder="1" applyAlignment="1">
      <alignment horizontal="center" vertical="center" wrapText="1"/>
    </xf>
    <xf numFmtId="171" fontId="5" fillId="16" borderId="1" xfId="0" applyNumberFormat="1" applyFont="1" applyFill="1" applyBorder="1" applyAlignment="1">
      <alignment horizontal="center" vertical="center" wrapText="1"/>
    </xf>
    <xf numFmtId="2" fontId="4" fillId="16" borderId="1" xfId="1" applyNumberFormat="1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 wrapText="1"/>
    </xf>
    <xf numFmtId="171" fontId="5" fillId="20" borderId="1" xfId="0" applyNumberFormat="1" applyFont="1" applyFill="1" applyBorder="1" applyAlignment="1">
      <alignment horizontal="center" vertical="center" wrapText="1"/>
    </xf>
    <xf numFmtId="164" fontId="4" fillId="20" borderId="1" xfId="4" applyNumberFormat="1" applyFont="1" applyFill="1" applyBorder="1" applyAlignment="1">
      <alignment horizontal="right" vertical="center" wrapText="1" indent="1"/>
    </xf>
    <xf numFmtId="164" fontId="4" fillId="20" borderId="1" xfId="4" applyNumberFormat="1" applyFont="1" applyFill="1" applyBorder="1" applyAlignment="1">
      <alignment horizontal="center" vertical="center" wrapText="1"/>
    </xf>
    <xf numFmtId="164" fontId="7" fillId="20" borderId="1" xfId="4" applyNumberFormat="1" applyFont="1" applyFill="1" applyBorder="1" applyAlignment="1">
      <alignment horizontal="center" vertical="center" wrapText="1"/>
    </xf>
    <xf numFmtId="164" fontId="7" fillId="20" borderId="5" xfId="4" applyNumberFormat="1" applyFont="1" applyFill="1" applyBorder="1" applyAlignment="1">
      <alignment horizontal="center" vertical="center" wrapText="1"/>
    </xf>
    <xf numFmtId="1" fontId="4" fillId="20" borderId="1" xfId="0" applyNumberFormat="1" applyFont="1" applyFill="1" applyBorder="1" applyAlignment="1">
      <alignment horizontal="center" vertical="center" wrapText="1"/>
    </xf>
    <xf numFmtId="1" fontId="4" fillId="20" borderId="1" xfId="1" applyNumberFormat="1" applyFont="1" applyFill="1" applyBorder="1" applyAlignment="1">
      <alignment horizontal="center" vertical="center" wrapText="1"/>
    </xf>
    <xf numFmtId="10" fontId="4" fillId="20" borderId="1" xfId="3" applyNumberFormat="1" applyFont="1" applyFill="1" applyBorder="1" applyAlignment="1">
      <alignment horizontal="center" vertical="center" wrapText="1"/>
    </xf>
    <xf numFmtId="173" fontId="4" fillId="20" borderId="1" xfId="3" applyNumberFormat="1" applyFont="1" applyFill="1" applyBorder="1" applyAlignment="1">
      <alignment horizontal="center" vertical="center" wrapText="1"/>
    </xf>
    <xf numFmtId="44" fontId="4" fillId="20" borderId="1" xfId="2" applyFont="1" applyFill="1" applyBorder="1" applyAlignment="1">
      <alignment horizontal="center" vertical="center" wrapText="1"/>
    </xf>
    <xf numFmtId="166" fontId="4" fillId="20" borderId="1" xfId="4" applyNumberFormat="1" applyFont="1" applyFill="1" applyBorder="1" applyAlignment="1">
      <alignment horizontal="center" vertical="center" wrapText="1"/>
    </xf>
    <xf numFmtId="171" fontId="5" fillId="5" borderId="1" xfId="0" applyNumberFormat="1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 wrapText="1"/>
    </xf>
    <xf numFmtId="171" fontId="5" fillId="17" borderId="1" xfId="0" applyNumberFormat="1" applyFont="1" applyFill="1" applyBorder="1" applyAlignment="1">
      <alignment horizontal="center" vertical="center" wrapText="1"/>
    </xf>
    <xf numFmtId="164" fontId="4" fillId="17" borderId="1" xfId="4" applyNumberFormat="1" applyFont="1" applyFill="1" applyBorder="1" applyAlignment="1">
      <alignment horizontal="right" vertical="center" wrapText="1" indent="1"/>
    </xf>
    <xf numFmtId="164" fontId="4" fillId="17" borderId="1" xfId="4" applyNumberFormat="1" applyFont="1" applyFill="1" applyBorder="1" applyAlignment="1">
      <alignment horizontal="center" vertical="center" wrapText="1"/>
    </xf>
    <xf numFmtId="164" fontId="7" fillId="17" borderId="1" xfId="4" applyNumberFormat="1" applyFont="1" applyFill="1" applyBorder="1" applyAlignment="1">
      <alignment horizontal="center" vertical="center" wrapText="1"/>
    </xf>
    <xf numFmtId="164" fontId="7" fillId="17" borderId="5" xfId="4" applyNumberFormat="1" applyFont="1" applyFill="1" applyBorder="1" applyAlignment="1">
      <alignment horizontal="center" vertical="center" wrapText="1"/>
    </xf>
    <xf numFmtId="1" fontId="4" fillId="17" borderId="1" xfId="0" applyNumberFormat="1" applyFont="1" applyFill="1" applyBorder="1" applyAlignment="1">
      <alignment horizontal="center" vertical="center" wrapText="1"/>
    </xf>
    <xf numFmtId="1" fontId="4" fillId="17" borderId="1" xfId="1" applyNumberFormat="1" applyFont="1" applyFill="1" applyBorder="1" applyAlignment="1">
      <alignment horizontal="center" vertical="center" wrapText="1"/>
    </xf>
    <xf numFmtId="173" fontId="4" fillId="17" borderId="1" xfId="3" applyNumberFormat="1" applyFont="1" applyFill="1" applyBorder="1" applyAlignment="1">
      <alignment horizontal="center" vertical="center" wrapText="1"/>
    </xf>
    <xf numFmtId="44" fontId="4" fillId="17" borderId="1" xfId="2" applyFont="1" applyFill="1" applyBorder="1" applyAlignment="1">
      <alignment horizontal="center" vertical="center" wrapText="1"/>
    </xf>
    <xf numFmtId="166" fontId="4" fillId="17" borderId="1" xfId="4" applyNumberFormat="1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 wrapText="1"/>
    </xf>
    <xf numFmtId="171" fontId="5" fillId="21" borderId="1" xfId="0" applyNumberFormat="1" applyFont="1" applyFill="1" applyBorder="1" applyAlignment="1">
      <alignment horizontal="center" vertical="center" wrapText="1"/>
    </xf>
    <xf numFmtId="164" fontId="4" fillId="21" borderId="1" xfId="4" applyNumberFormat="1" applyFont="1" applyFill="1" applyBorder="1" applyAlignment="1">
      <alignment horizontal="right" vertical="center" wrapText="1" indent="1"/>
    </xf>
    <xf numFmtId="164" fontId="4" fillId="21" borderId="1" xfId="4" applyNumberFormat="1" applyFont="1" applyFill="1" applyBorder="1" applyAlignment="1">
      <alignment horizontal="center" vertical="center" wrapText="1"/>
    </xf>
    <xf numFmtId="164" fontId="7" fillId="21" borderId="1" xfId="4" applyNumberFormat="1" applyFont="1" applyFill="1" applyBorder="1" applyAlignment="1">
      <alignment horizontal="center" vertical="center" wrapText="1"/>
    </xf>
    <xf numFmtId="164" fontId="7" fillId="21" borderId="5" xfId="4" applyNumberFormat="1" applyFont="1" applyFill="1" applyBorder="1" applyAlignment="1">
      <alignment horizontal="center" vertical="center" wrapText="1"/>
    </xf>
    <xf numFmtId="1" fontId="4" fillId="21" borderId="1" xfId="0" applyNumberFormat="1" applyFont="1" applyFill="1" applyBorder="1" applyAlignment="1">
      <alignment horizontal="center" vertical="center" wrapText="1"/>
    </xf>
    <xf numFmtId="1" fontId="4" fillId="21" borderId="1" xfId="1" applyNumberFormat="1" applyFont="1" applyFill="1" applyBorder="1" applyAlignment="1">
      <alignment horizontal="center" vertical="center" wrapText="1"/>
    </xf>
    <xf numFmtId="10" fontId="4" fillId="21" borderId="1" xfId="3" applyNumberFormat="1" applyFont="1" applyFill="1" applyBorder="1" applyAlignment="1">
      <alignment horizontal="center" vertical="center" wrapText="1"/>
    </xf>
    <xf numFmtId="173" fontId="4" fillId="21" borderId="1" xfId="3" applyNumberFormat="1" applyFont="1" applyFill="1" applyBorder="1" applyAlignment="1">
      <alignment horizontal="center" vertical="center" wrapText="1"/>
    </xf>
    <xf numFmtId="44" fontId="4" fillId="21" borderId="1" xfId="2" applyFont="1" applyFill="1" applyBorder="1" applyAlignment="1">
      <alignment horizontal="center" vertical="center" wrapText="1"/>
    </xf>
    <xf numFmtId="166" fontId="4" fillId="21" borderId="1" xfId="4" applyNumberFormat="1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 wrapText="1"/>
    </xf>
    <xf numFmtId="164" fontId="10" fillId="7" borderId="13" xfId="4" applyNumberFormat="1" applyFont="1" applyFill="1" applyBorder="1" applyAlignment="1">
      <alignment horizontal="center" vertical="center" wrapText="1"/>
    </xf>
    <xf numFmtId="164" fontId="9" fillId="7" borderId="13" xfId="4" applyNumberFormat="1" applyFont="1" applyFill="1" applyBorder="1" applyAlignment="1">
      <alignment horizontal="center" vertical="center" wrapText="1"/>
    </xf>
    <xf numFmtId="164" fontId="10" fillId="7" borderId="14" xfId="4" applyNumberFormat="1" applyFont="1" applyFill="1" applyBorder="1" applyAlignment="1">
      <alignment horizontal="center" vertical="center" wrapText="1"/>
    </xf>
    <xf numFmtId="164" fontId="10" fillId="11" borderId="15" xfId="4" applyNumberFormat="1" applyFont="1" applyFill="1" applyBorder="1" applyAlignment="1">
      <alignment horizontal="center" vertical="center" wrapText="1"/>
    </xf>
    <xf numFmtId="0" fontId="10" fillId="11" borderId="16" xfId="0" applyFont="1" applyFill="1" applyBorder="1" applyAlignment="1">
      <alignment horizontal="center" vertical="center" wrapText="1"/>
    </xf>
    <xf numFmtId="1" fontId="10" fillId="11" borderId="13" xfId="0" applyNumberFormat="1" applyFont="1" applyFill="1" applyBorder="1" applyAlignment="1">
      <alignment horizontal="center" vertical="center" wrapText="1"/>
    </xf>
    <xf numFmtId="0" fontId="10" fillId="11" borderId="13" xfId="0" applyFont="1" applyFill="1" applyBorder="1" applyAlignment="1">
      <alignment horizontal="center" vertical="center" wrapText="1"/>
    </xf>
    <xf numFmtId="164" fontId="10" fillId="11" borderId="13" xfId="4" applyNumberFormat="1" applyFont="1" applyFill="1" applyBorder="1" applyAlignment="1">
      <alignment horizontal="center" vertical="center" wrapText="1"/>
    </xf>
    <xf numFmtId="164" fontId="10" fillId="13" borderId="13" xfId="4" applyNumberFormat="1" applyFont="1" applyFill="1" applyBorder="1" applyAlignment="1">
      <alignment horizontal="center" vertical="center" wrapText="1"/>
    </xf>
    <xf numFmtId="165" fontId="10" fillId="10" borderId="13" xfId="0" applyNumberFormat="1" applyFont="1" applyFill="1" applyBorder="1" applyAlignment="1">
      <alignment horizontal="center" vertical="center" wrapText="1"/>
    </xf>
    <xf numFmtId="165" fontId="10" fillId="8" borderId="13" xfId="0" applyNumberFormat="1" applyFont="1" applyFill="1" applyBorder="1" applyAlignment="1">
      <alignment horizontal="center" vertical="center" wrapText="1"/>
    </xf>
    <xf numFmtId="169" fontId="5" fillId="4" borderId="17" xfId="0" applyNumberFormat="1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 wrapText="1"/>
    </xf>
    <xf numFmtId="170" fontId="5" fillId="4" borderId="17" xfId="0" applyNumberFormat="1" applyFont="1" applyFill="1" applyBorder="1" applyAlignment="1">
      <alignment horizontal="center" vertical="center" wrapText="1"/>
    </xf>
    <xf numFmtId="172" fontId="5" fillId="4" borderId="17" xfId="0" applyNumberFormat="1" applyFont="1" applyFill="1" applyBorder="1" applyAlignment="1">
      <alignment horizontal="center" vertical="center" wrapText="1"/>
    </xf>
    <xf numFmtId="164" fontId="4" fillId="4" borderId="17" xfId="4" applyNumberFormat="1" applyFont="1" applyFill="1" applyBorder="1" applyAlignment="1">
      <alignment horizontal="right" vertical="center" wrapText="1" indent="1"/>
    </xf>
    <xf numFmtId="164" fontId="4" fillId="4" borderId="17" xfId="4" applyNumberFormat="1" applyFont="1" applyFill="1" applyBorder="1" applyAlignment="1">
      <alignment horizontal="center" vertical="center" wrapText="1"/>
    </xf>
    <xf numFmtId="164" fontId="7" fillId="4" borderId="17" xfId="4" applyNumberFormat="1" applyFont="1" applyFill="1" applyBorder="1" applyAlignment="1">
      <alignment horizontal="center" vertical="center" wrapText="1"/>
    </xf>
    <xf numFmtId="1" fontId="4" fillId="4" borderId="17" xfId="0" applyNumberFormat="1" applyFont="1" applyFill="1" applyBorder="1" applyAlignment="1">
      <alignment horizontal="center" vertical="center" wrapText="1"/>
    </xf>
    <xf numFmtId="1" fontId="4" fillId="4" borderId="17" xfId="1" applyNumberFormat="1" applyFont="1" applyFill="1" applyBorder="1" applyAlignment="1">
      <alignment horizontal="center" vertical="center" wrapText="1"/>
    </xf>
    <xf numFmtId="10" fontId="4" fillId="4" borderId="17" xfId="3" applyNumberFormat="1" applyFont="1" applyFill="1" applyBorder="1" applyAlignment="1">
      <alignment horizontal="center" vertical="center" wrapText="1"/>
    </xf>
    <xf numFmtId="173" fontId="4" fillId="4" borderId="17" xfId="3" applyNumberFormat="1" applyFont="1" applyFill="1" applyBorder="1" applyAlignment="1">
      <alignment horizontal="center" vertical="center" wrapText="1"/>
    </xf>
    <xf numFmtId="44" fontId="4" fillId="4" borderId="17" xfId="2" applyFont="1" applyFill="1" applyBorder="1" applyAlignment="1">
      <alignment horizontal="center" vertical="center" wrapText="1"/>
    </xf>
    <xf numFmtId="166" fontId="4" fillId="4" borderId="17" xfId="4" applyNumberFormat="1" applyFont="1" applyFill="1" applyBorder="1" applyAlignment="1">
      <alignment horizontal="center" vertical="center" wrapText="1"/>
    </xf>
    <xf numFmtId="169" fontId="5" fillId="18" borderId="17" xfId="0" applyNumberFormat="1" applyFont="1" applyFill="1" applyBorder="1" applyAlignment="1">
      <alignment horizontal="center" vertical="center"/>
    </xf>
    <xf numFmtId="0" fontId="5" fillId="18" borderId="17" xfId="0" applyFont="1" applyFill="1" applyBorder="1" applyAlignment="1">
      <alignment horizontal="center" vertical="center"/>
    </xf>
    <xf numFmtId="0" fontId="5" fillId="18" borderId="17" xfId="0" applyFont="1" applyFill="1" applyBorder="1" applyAlignment="1">
      <alignment horizontal="center" vertical="center" wrapText="1"/>
    </xf>
    <xf numFmtId="170" fontId="5" fillId="18" borderId="17" xfId="0" applyNumberFormat="1" applyFont="1" applyFill="1" applyBorder="1" applyAlignment="1">
      <alignment horizontal="center" vertical="center" wrapText="1"/>
    </xf>
    <xf numFmtId="172" fontId="5" fillId="18" borderId="17" xfId="0" applyNumberFormat="1" applyFont="1" applyFill="1" applyBorder="1" applyAlignment="1">
      <alignment horizontal="center" vertical="center" wrapText="1"/>
    </xf>
    <xf numFmtId="164" fontId="4" fillId="18" borderId="17" xfId="4" applyNumberFormat="1" applyFont="1" applyFill="1" applyBorder="1" applyAlignment="1">
      <alignment horizontal="right" vertical="center" wrapText="1" indent="1"/>
    </xf>
    <xf numFmtId="164" fontId="4" fillId="18" borderId="17" xfId="4" applyNumberFormat="1" applyFont="1" applyFill="1" applyBorder="1" applyAlignment="1">
      <alignment horizontal="center" vertical="center" wrapText="1"/>
    </xf>
    <xf numFmtId="164" fontId="7" fillId="18" borderId="17" xfId="4" applyNumberFormat="1" applyFont="1" applyFill="1" applyBorder="1" applyAlignment="1">
      <alignment horizontal="center" vertical="center" wrapText="1"/>
    </xf>
    <xf numFmtId="1" fontId="4" fillId="18" borderId="17" xfId="0" applyNumberFormat="1" applyFont="1" applyFill="1" applyBorder="1" applyAlignment="1">
      <alignment horizontal="center" vertical="center" wrapText="1"/>
    </xf>
    <xf numFmtId="1" fontId="4" fillId="18" borderId="17" xfId="1" applyNumberFormat="1" applyFont="1" applyFill="1" applyBorder="1" applyAlignment="1">
      <alignment horizontal="center" vertical="center" wrapText="1"/>
    </xf>
    <xf numFmtId="10" fontId="4" fillId="18" borderId="17" xfId="3" applyNumberFormat="1" applyFont="1" applyFill="1" applyBorder="1" applyAlignment="1">
      <alignment horizontal="center" vertical="center" wrapText="1"/>
    </xf>
    <xf numFmtId="173" fontId="4" fillId="18" borderId="17" xfId="3" applyNumberFormat="1" applyFont="1" applyFill="1" applyBorder="1" applyAlignment="1">
      <alignment horizontal="center" vertical="center" wrapText="1"/>
    </xf>
    <xf numFmtId="44" fontId="4" fillId="18" borderId="17" xfId="2" applyFont="1" applyFill="1" applyBorder="1" applyAlignment="1">
      <alignment horizontal="center" vertical="center" wrapText="1"/>
    </xf>
    <xf numFmtId="166" fontId="4" fillId="18" borderId="17" xfId="4" applyNumberFormat="1" applyFont="1" applyFill="1" applyBorder="1" applyAlignment="1">
      <alignment horizontal="center" vertical="center" wrapText="1"/>
    </xf>
    <xf numFmtId="169" fontId="5" fillId="15" borderId="17" xfId="0" applyNumberFormat="1" applyFont="1" applyFill="1" applyBorder="1" applyAlignment="1">
      <alignment horizontal="center" vertical="center"/>
    </xf>
    <xf numFmtId="0" fontId="5" fillId="15" borderId="17" xfId="0" applyFont="1" applyFill="1" applyBorder="1" applyAlignment="1">
      <alignment horizontal="center" vertical="center"/>
    </xf>
    <xf numFmtId="0" fontId="5" fillId="15" borderId="17" xfId="0" applyFont="1" applyFill="1" applyBorder="1" applyAlignment="1">
      <alignment horizontal="center" vertical="center" wrapText="1"/>
    </xf>
    <xf numFmtId="170" fontId="5" fillId="15" borderId="17" xfId="0" applyNumberFormat="1" applyFont="1" applyFill="1" applyBorder="1" applyAlignment="1">
      <alignment horizontal="center" vertical="center" wrapText="1"/>
    </xf>
    <xf numFmtId="172" fontId="5" fillId="15" borderId="17" xfId="0" applyNumberFormat="1" applyFont="1" applyFill="1" applyBorder="1" applyAlignment="1">
      <alignment horizontal="center" vertical="center" wrapText="1"/>
    </xf>
    <xf numFmtId="164" fontId="4" fillId="15" borderId="17" xfId="4" applyNumberFormat="1" applyFont="1" applyFill="1" applyBorder="1" applyAlignment="1">
      <alignment horizontal="right" vertical="center" wrapText="1" indent="1"/>
    </xf>
    <xf numFmtId="164" fontId="4" fillId="15" borderId="17" xfId="4" applyNumberFormat="1" applyFont="1" applyFill="1" applyBorder="1" applyAlignment="1">
      <alignment horizontal="center" vertical="center" wrapText="1"/>
    </xf>
    <xf numFmtId="164" fontId="7" fillId="15" borderId="17" xfId="4" applyNumberFormat="1" applyFont="1" applyFill="1" applyBorder="1" applyAlignment="1">
      <alignment horizontal="center" vertical="center" wrapText="1"/>
    </xf>
    <xf numFmtId="1" fontId="4" fillId="15" borderId="17" xfId="0" applyNumberFormat="1" applyFont="1" applyFill="1" applyBorder="1" applyAlignment="1">
      <alignment horizontal="center" vertical="center" wrapText="1"/>
    </xf>
    <xf numFmtId="1" fontId="4" fillId="15" borderId="17" xfId="1" applyNumberFormat="1" applyFont="1" applyFill="1" applyBorder="1" applyAlignment="1">
      <alignment horizontal="center" vertical="center" wrapText="1"/>
    </xf>
    <xf numFmtId="10" fontId="4" fillId="15" borderId="17" xfId="3" applyNumberFormat="1" applyFont="1" applyFill="1" applyBorder="1" applyAlignment="1">
      <alignment horizontal="center" vertical="center" wrapText="1"/>
    </xf>
    <xf numFmtId="173" fontId="4" fillId="15" borderId="17" xfId="3" applyNumberFormat="1" applyFont="1" applyFill="1" applyBorder="1" applyAlignment="1">
      <alignment horizontal="center" vertical="center" wrapText="1"/>
    </xf>
    <xf numFmtId="44" fontId="4" fillId="15" borderId="17" xfId="2" applyFont="1" applyFill="1" applyBorder="1" applyAlignment="1">
      <alignment horizontal="center" vertical="center" wrapText="1"/>
    </xf>
    <xf numFmtId="166" fontId="4" fillId="15" borderId="17" xfId="4" applyNumberFormat="1" applyFont="1" applyFill="1" applyBorder="1" applyAlignment="1">
      <alignment horizontal="center" vertical="center" wrapText="1"/>
    </xf>
    <xf numFmtId="169" fontId="5" fillId="12" borderId="17" xfId="0" applyNumberFormat="1" applyFont="1" applyFill="1" applyBorder="1" applyAlignment="1">
      <alignment horizontal="center" vertical="center"/>
    </xf>
    <xf numFmtId="0" fontId="5" fillId="12" borderId="17" xfId="0" applyFont="1" applyFill="1" applyBorder="1" applyAlignment="1">
      <alignment horizontal="center" vertical="center"/>
    </xf>
    <xf numFmtId="0" fontId="5" fillId="12" borderId="17" xfId="0" applyFont="1" applyFill="1" applyBorder="1" applyAlignment="1">
      <alignment horizontal="center" vertical="center" wrapText="1"/>
    </xf>
    <xf numFmtId="170" fontId="5" fillId="12" borderId="17" xfId="0" applyNumberFormat="1" applyFont="1" applyFill="1" applyBorder="1" applyAlignment="1">
      <alignment horizontal="center" vertical="center" wrapText="1"/>
    </xf>
    <xf numFmtId="172" fontId="5" fillId="12" borderId="17" xfId="0" applyNumberFormat="1" applyFont="1" applyFill="1" applyBorder="1" applyAlignment="1">
      <alignment horizontal="center" vertical="center" wrapText="1"/>
    </xf>
    <xf numFmtId="164" fontId="5" fillId="12" borderId="17" xfId="4" applyNumberFormat="1" applyFont="1" applyFill="1" applyBorder="1"/>
    <xf numFmtId="164" fontId="7" fillId="12" borderId="17" xfId="4" applyNumberFormat="1" applyFont="1" applyFill="1" applyBorder="1" applyAlignment="1">
      <alignment horizontal="center" vertical="center" wrapText="1"/>
    </xf>
    <xf numFmtId="1" fontId="7" fillId="12" borderId="17" xfId="0" applyNumberFormat="1" applyFont="1" applyFill="1" applyBorder="1" applyAlignment="1">
      <alignment horizontal="center" vertical="center" wrapText="1"/>
    </xf>
    <xf numFmtId="1" fontId="4" fillId="12" borderId="17" xfId="1" applyNumberFormat="1" applyFont="1" applyFill="1" applyBorder="1" applyAlignment="1">
      <alignment horizontal="center" vertical="center" wrapText="1"/>
    </xf>
    <xf numFmtId="10" fontId="4" fillId="12" borderId="17" xfId="3" applyNumberFormat="1" applyFont="1" applyFill="1" applyBorder="1" applyAlignment="1">
      <alignment horizontal="center" vertical="center" wrapText="1"/>
    </xf>
    <xf numFmtId="164" fontId="4" fillId="12" borderId="17" xfId="4" applyNumberFormat="1" applyFont="1" applyFill="1" applyBorder="1" applyAlignment="1">
      <alignment horizontal="center" vertical="center" wrapText="1"/>
    </xf>
    <xf numFmtId="173" fontId="4" fillId="12" borderId="17" xfId="3" applyNumberFormat="1" applyFont="1" applyFill="1" applyBorder="1" applyAlignment="1">
      <alignment horizontal="center" vertical="center" wrapText="1"/>
    </xf>
    <xf numFmtId="164" fontId="4" fillId="12" borderId="17" xfId="4" applyNumberFormat="1" applyFont="1" applyFill="1" applyBorder="1" applyAlignment="1">
      <alignment horizontal="right" vertical="center" wrapText="1" indent="1"/>
    </xf>
    <xf numFmtId="44" fontId="4" fillId="12" borderId="17" xfId="2" applyFont="1" applyFill="1" applyBorder="1" applyAlignment="1">
      <alignment horizontal="center" vertical="center" wrapText="1"/>
    </xf>
    <xf numFmtId="166" fontId="4" fillId="12" borderId="17" xfId="4" applyNumberFormat="1" applyFont="1" applyFill="1" applyBorder="1" applyAlignment="1">
      <alignment horizontal="center" vertical="center" wrapText="1"/>
    </xf>
    <xf numFmtId="165" fontId="5" fillId="12" borderId="17" xfId="0" applyNumberFormat="1" applyFont="1" applyFill="1" applyBorder="1"/>
    <xf numFmtId="0" fontId="5" fillId="20" borderId="17" xfId="0" applyFont="1" applyFill="1" applyBorder="1" applyAlignment="1">
      <alignment horizontal="center" vertical="center"/>
    </xf>
    <xf numFmtId="0" fontId="5" fillId="20" borderId="17" xfId="0" applyFont="1" applyFill="1" applyBorder="1" applyAlignment="1">
      <alignment horizontal="center" vertical="center" wrapText="1"/>
    </xf>
    <xf numFmtId="170" fontId="5" fillId="20" borderId="17" xfId="0" applyNumberFormat="1" applyFont="1" applyFill="1" applyBorder="1" applyAlignment="1">
      <alignment horizontal="center" vertical="center" wrapText="1"/>
    </xf>
    <xf numFmtId="172" fontId="5" fillId="20" borderId="17" xfId="0" applyNumberFormat="1" applyFont="1" applyFill="1" applyBorder="1" applyAlignment="1">
      <alignment horizontal="center" vertical="center" wrapText="1"/>
    </xf>
    <xf numFmtId="164" fontId="4" fillId="20" borderId="17" xfId="4" applyNumberFormat="1" applyFont="1" applyFill="1" applyBorder="1" applyAlignment="1">
      <alignment horizontal="right" vertical="center" wrapText="1" indent="1"/>
    </xf>
    <xf numFmtId="164" fontId="7" fillId="20" borderId="17" xfId="4" applyNumberFormat="1" applyFont="1" applyFill="1" applyBorder="1" applyAlignment="1">
      <alignment horizontal="center" vertical="center" wrapText="1"/>
    </xf>
    <xf numFmtId="1" fontId="4" fillId="20" borderId="17" xfId="0" applyNumberFormat="1" applyFont="1" applyFill="1" applyBorder="1" applyAlignment="1">
      <alignment horizontal="center" vertical="center" wrapText="1"/>
    </xf>
    <xf numFmtId="1" fontId="4" fillId="20" borderId="17" xfId="1" applyNumberFormat="1" applyFont="1" applyFill="1" applyBorder="1" applyAlignment="1">
      <alignment horizontal="center" vertical="center" wrapText="1"/>
    </xf>
    <xf numFmtId="10" fontId="4" fillId="20" borderId="17" xfId="3" applyNumberFormat="1" applyFont="1" applyFill="1" applyBorder="1" applyAlignment="1">
      <alignment horizontal="center" vertical="center" wrapText="1"/>
    </xf>
    <xf numFmtId="164" fontId="4" fillId="20" borderId="17" xfId="4" applyNumberFormat="1" applyFont="1" applyFill="1" applyBorder="1" applyAlignment="1">
      <alignment horizontal="center" vertical="center" wrapText="1"/>
    </xf>
    <xf numFmtId="173" fontId="4" fillId="20" borderId="17" xfId="3" applyNumberFormat="1" applyFont="1" applyFill="1" applyBorder="1" applyAlignment="1">
      <alignment horizontal="center" vertical="center" wrapText="1"/>
    </xf>
    <xf numFmtId="44" fontId="4" fillId="20" borderId="17" xfId="2" applyFont="1" applyFill="1" applyBorder="1" applyAlignment="1">
      <alignment horizontal="center" vertical="center" wrapText="1"/>
    </xf>
    <xf numFmtId="166" fontId="4" fillId="20" borderId="17" xfId="4" applyNumberFormat="1" applyFont="1" applyFill="1" applyBorder="1" applyAlignment="1">
      <alignment horizontal="center" vertical="center" wrapText="1"/>
    </xf>
    <xf numFmtId="164" fontId="5" fillId="20" borderId="17" xfId="4" applyNumberFormat="1" applyFont="1" applyFill="1" applyBorder="1"/>
    <xf numFmtId="0" fontId="5" fillId="3" borderId="17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 wrapText="1"/>
    </xf>
    <xf numFmtId="170" fontId="5" fillId="3" borderId="17" xfId="0" applyNumberFormat="1" applyFont="1" applyFill="1" applyBorder="1" applyAlignment="1">
      <alignment horizontal="center" vertical="center" wrapText="1"/>
    </xf>
    <xf numFmtId="172" fontId="5" fillId="3" borderId="17" xfId="0" applyNumberFormat="1" applyFont="1" applyFill="1" applyBorder="1" applyAlignment="1">
      <alignment horizontal="center" vertical="center" wrapText="1"/>
    </xf>
    <xf numFmtId="164" fontId="5" fillId="3" borderId="17" xfId="4" applyNumberFormat="1" applyFont="1" applyFill="1" applyBorder="1"/>
    <xf numFmtId="164" fontId="7" fillId="3" borderId="17" xfId="4" applyNumberFormat="1" applyFont="1" applyFill="1" applyBorder="1" applyAlignment="1">
      <alignment horizontal="center" vertical="center" wrapText="1"/>
    </xf>
    <xf numFmtId="1" fontId="4" fillId="3" borderId="17" xfId="0" applyNumberFormat="1" applyFont="1" applyFill="1" applyBorder="1" applyAlignment="1">
      <alignment horizontal="center" vertical="center" wrapText="1"/>
    </xf>
    <xf numFmtId="1" fontId="4" fillId="3" borderId="17" xfId="1" applyNumberFormat="1" applyFont="1" applyFill="1" applyBorder="1" applyAlignment="1">
      <alignment horizontal="center" vertical="center" wrapText="1"/>
    </xf>
    <xf numFmtId="10" fontId="4" fillId="3" borderId="17" xfId="3" applyNumberFormat="1" applyFont="1" applyFill="1" applyBorder="1" applyAlignment="1">
      <alignment horizontal="center" vertical="center" wrapText="1"/>
    </xf>
    <xf numFmtId="164" fontId="4" fillId="3" borderId="17" xfId="4" applyNumberFormat="1" applyFont="1" applyFill="1" applyBorder="1" applyAlignment="1">
      <alignment horizontal="center" vertical="center" wrapText="1"/>
    </xf>
    <xf numFmtId="173" fontId="4" fillId="3" borderId="17" xfId="3" applyNumberFormat="1" applyFont="1" applyFill="1" applyBorder="1" applyAlignment="1">
      <alignment horizontal="center" vertical="center" wrapText="1"/>
    </xf>
    <xf numFmtId="164" fontId="4" fillId="3" borderId="17" xfId="4" applyNumberFormat="1" applyFont="1" applyFill="1" applyBorder="1" applyAlignment="1">
      <alignment horizontal="right" vertical="center" wrapText="1" indent="1"/>
    </xf>
    <xf numFmtId="44" fontId="4" fillId="3" borderId="17" xfId="2" applyFont="1" applyFill="1" applyBorder="1" applyAlignment="1">
      <alignment horizontal="center" vertical="center" wrapText="1"/>
    </xf>
    <xf numFmtId="166" fontId="4" fillId="3" borderId="17" xfId="4" applyNumberFormat="1" applyFont="1" applyFill="1" applyBorder="1" applyAlignment="1">
      <alignment horizontal="center" vertical="center" wrapText="1"/>
    </xf>
    <xf numFmtId="169" fontId="5" fillId="19" borderId="17" xfId="0" applyNumberFormat="1" applyFont="1" applyFill="1" applyBorder="1" applyAlignment="1">
      <alignment horizontal="center" vertical="center"/>
    </xf>
    <xf numFmtId="0" fontId="5" fillId="19" borderId="17" xfId="0" applyFont="1" applyFill="1" applyBorder="1" applyAlignment="1">
      <alignment horizontal="center" vertical="center"/>
    </xf>
    <xf numFmtId="0" fontId="5" fillId="19" borderId="17" xfId="0" applyFont="1" applyFill="1" applyBorder="1" applyAlignment="1">
      <alignment horizontal="center" vertical="center" wrapText="1"/>
    </xf>
    <xf numFmtId="170" fontId="5" fillId="19" borderId="17" xfId="0" applyNumberFormat="1" applyFont="1" applyFill="1" applyBorder="1" applyAlignment="1">
      <alignment horizontal="center" vertical="center" wrapText="1"/>
    </xf>
    <xf numFmtId="172" fontId="5" fillId="19" borderId="17" xfId="0" applyNumberFormat="1" applyFont="1" applyFill="1" applyBorder="1" applyAlignment="1">
      <alignment horizontal="center" vertical="center" wrapText="1"/>
    </xf>
    <xf numFmtId="164" fontId="5" fillId="19" borderId="17" xfId="4" applyNumberFormat="1" applyFont="1" applyFill="1" applyBorder="1"/>
    <xf numFmtId="164" fontId="7" fillId="19" borderId="17" xfId="4" applyNumberFormat="1" applyFont="1" applyFill="1" applyBorder="1" applyAlignment="1">
      <alignment horizontal="center" vertical="center" wrapText="1"/>
    </xf>
    <xf numFmtId="1" fontId="4" fillId="19" borderId="17" xfId="0" applyNumberFormat="1" applyFont="1" applyFill="1" applyBorder="1" applyAlignment="1">
      <alignment horizontal="center" vertical="center" wrapText="1"/>
    </xf>
    <xf numFmtId="1" fontId="4" fillId="19" borderId="17" xfId="1" applyNumberFormat="1" applyFont="1" applyFill="1" applyBorder="1" applyAlignment="1">
      <alignment horizontal="center" vertical="center" wrapText="1"/>
    </xf>
    <xf numFmtId="10" fontId="4" fillId="19" borderId="17" xfId="3" applyNumberFormat="1" applyFont="1" applyFill="1" applyBorder="1" applyAlignment="1">
      <alignment horizontal="center" vertical="center" wrapText="1"/>
    </xf>
    <xf numFmtId="164" fontId="4" fillId="19" borderId="17" xfId="4" applyNumberFormat="1" applyFont="1" applyFill="1" applyBorder="1" applyAlignment="1">
      <alignment horizontal="center" vertical="center" wrapText="1"/>
    </xf>
    <xf numFmtId="173" fontId="4" fillId="19" borderId="17" xfId="3" applyNumberFormat="1" applyFont="1" applyFill="1" applyBorder="1" applyAlignment="1">
      <alignment horizontal="center" vertical="center" wrapText="1"/>
    </xf>
    <xf numFmtId="164" fontId="4" fillId="19" borderId="17" xfId="4" applyNumberFormat="1" applyFont="1" applyFill="1" applyBorder="1" applyAlignment="1">
      <alignment horizontal="right" vertical="center" wrapText="1" indent="1"/>
    </xf>
    <xf numFmtId="44" fontId="4" fillId="19" borderId="17" xfId="2" applyFont="1" applyFill="1" applyBorder="1" applyAlignment="1">
      <alignment horizontal="center" vertical="center" wrapText="1"/>
    </xf>
    <xf numFmtId="166" fontId="4" fillId="19" borderId="17" xfId="4" applyNumberFormat="1" applyFont="1" applyFill="1" applyBorder="1" applyAlignment="1">
      <alignment horizontal="center" vertical="center" wrapText="1"/>
    </xf>
    <xf numFmtId="1" fontId="7" fillId="19" borderId="17" xfId="0" applyNumberFormat="1" applyFont="1" applyFill="1" applyBorder="1" applyAlignment="1">
      <alignment horizontal="center" vertical="center" wrapText="1"/>
    </xf>
    <xf numFmtId="0" fontId="5" fillId="21" borderId="17" xfId="0" applyFont="1" applyFill="1" applyBorder="1" applyAlignment="1">
      <alignment horizontal="center" vertical="center"/>
    </xf>
    <xf numFmtId="0" fontId="5" fillId="21" borderId="17" xfId="0" applyFont="1" applyFill="1" applyBorder="1" applyAlignment="1">
      <alignment horizontal="center" vertical="center" wrapText="1"/>
    </xf>
    <xf numFmtId="170" fontId="5" fillId="21" borderId="17" xfId="0" applyNumberFormat="1" applyFont="1" applyFill="1" applyBorder="1" applyAlignment="1">
      <alignment horizontal="center" vertical="center" wrapText="1"/>
    </xf>
    <xf numFmtId="172" fontId="5" fillId="21" borderId="17" xfId="0" applyNumberFormat="1" applyFont="1" applyFill="1" applyBorder="1" applyAlignment="1">
      <alignment horizontal="center" vertical="center" wrapText="1"/>
    </xf>
    <xf numFmtId="164" fontId="5" fillId="21" borderId="17" xfId="4" applyNumberFormat="1" applyFont="1" applyFill="1" applyBorder="1"/>
    <xf numFmtId="164" fontId="7" fillId="21" borderId="17" xfId="4" applyNumberFormat="1" applyFont="1" applyFill="1" applyBorder="1" applyAlignment="1">
      <alignment horizontal="center" vertical="center" wrapText="1"/>
    </xf>
    <xf numFmtId="1" fontId="4" fillId="21" borderId="17" xfId="0" applyNumberFormat="1" applyFont="1" applyFill="1" applyBorder="1" applyAlignment="1">
      <alignment horizontal="center" vertical="center" wrapText="1"/>
    </xf>
    <xf numFmtId="1" fontId="4" fillId="21" borderId="17" xfId="1" applyNumberFormat="1" applyFont="1" applyFill="1" applyBorder="1" applyAlignment="1">
      <alignment horizontal="center" vertical="center" wrapText="1"/>
    </xf>
    <xf numFmtId="10" fontId="4" fillId="21" borderId="17" xfId="3" applyNumberFormat="1" applyFont="1" applyFill="1" applyBorder="1" applyAlignment="1">
      <alignment horizontal="center" vertical="center" wrapText="1"/>
    </xf>
    <xf numFmtId="164" fontId="4" fillId="21" borderId="17" xfId="4" applyNumberFormat="1" applyFont="1" applyFill="1" applyBorder="1" applyAlignment="1">
      <alignment horizontal="center" vertical="center" wrapText="1"/>
    </xf>
    <xf numFmtId="173" fontId="4" fillId="21" borderId="17" xfId="3" applyNumberFormat="1" applyFont="1" applyFill="1" applyBorder="1" applyAlignment="1">
      <alignment horizontal="center" vertical="center" wrapText="1"/>
    </xf>
    <xf numFmtId="164" fontId="4" fillId="21" borderId="17" xfId="4" applyNumberFormat="1" applyFont="1" applyFill="1" applyBorder="1" applyAlignment="1">
      <alignment horizontal="right" vertical="center" wrapText="1" indent="1"/>
    </xf>
    <xf numFmtId="44" fontId="4" fillId="21" borderId="17" xfId="2" applyFont="1" applyFill="1" applyBorder="1" applyAlignment="1">
      <alignment horizontal="center" vertical="center" wrapText="1"/>
    </xf>
    <xf numFmtId="166" fontId="4" fillId="21" borderId="17" xfId="4" applyNumberFormat="1" applyFont="1" applyFill="1" applyBorder="1" applyAlignment="1">
      <alignment horizontal="center" vertical="center" wrapText="1"/>
    </xf>
    <xf numFmtId="169" fontId="5" fillId="17" borderId="17" xfId="0" applyNumberFormat="1" applyFont="1" applyFill="1" applyBorder="1" applyAlignment="1">
      <alignment horizontal="center" vertical="center"/>
    </xf>
    <xf numFmtId="0" fontId="5" fillId="17" borderId="17" xfId="0" applyFont="1" applyFill="1" applyBorder="1" applyAlignment="1">
      <alignment horizontal="center" vertical="center"/>
    </xf>
    <xf numFmtId="0" fontId="5" fillId="17" borderId="17" xfId="0" applyFont="1" applyFill="1" applyBorder="1" applyAlignment="1">
      <alignment horizontal="center" vertical="center" wrapText="1"/>
    </xf>
    <xf numFmtId="170" fontId="5" fillId="17" borderId="17" xfId="0" applyNumberFormat="1" applyFont="1" applyFill="1" applyBorder="1" applyAlignment="1">
      <alignment horizontal="center" vertical="center" wrapText="1"/>
    </xf>
    <xf numFmtId="172" fontId="5" fillId="17" borderId="17" xfId="0" applyNumberFormat="1" applyFont="1" applyFill="1" applyBorder="1" applyAlignment="1">
      <alignment horizontal="center" vertical="center" wrapText="1"/>
    </xf>
    <xf numFmtId="164" fontId="5" fillId="17" borderId="17" xfId="4" applyNumberFormat="1" applyFont="1" applyFill="1" applyBorder="1"/>
    <xf numFmtId="164" fontId="7" fillId="17" borderId="17" xfId="4" applyNumberFormat="1" applyFont="1" applyFill="1" applyBorder="1" applyAlignment="1">
      <alignment horizontal="center" vertical="center" wrapText="1"/>
    </xf>
    <xf numFmtId="1" fontId="4" fillId="17" borderId="17" xfId="0" applyNumberFormat="1" applyFont="1" applyFill="1" applyBorder="1" applyAlignment="1">
      <alignment horizontal="center" vertical="center" wrapText="1"/>
    </xf>
    <xf numFmtId="1" fontId="4" fillId="17" borderId="17" xfId="1" applyNumberFormat="1" applyFont="1" applyFill="1" applyBorder="1" applyAlignment="1">
      <alignment horizontal="center" vertical="center" wrapText="1"/>
    </xf>
    <xf numFmtId="10" fontId="4" fillId="17" borderId="17" xfId="3" applyNumberFormat="1" applyFont="1" applyFill="1" applyBorder="1" applyAlignment="1">
      <alignment horizontal="center" vertical="center" wrapText="1"/>
    </xf>
    <xf numFmtId="164" fontId="4" fillId="17" borderId="17" xfId="4" applyNumberFormat="1" applyFont="1" applyFill="1" applyBorder="1" applyAlignment="1">
      <alignment horizontal="center" vertical="center" wrapText="1"/>
    </xf>
    <xf numFmtId="173" fontId="4" fillId="17" borderId="17" xfId="3" applyNumberFormat="1" applyFont="1" applyFill="1" applyBorder="1" applyAlignment="1">
      <alignment horizontal="center" vertical="center" wrapText="1"/>
    </xf>
    <xf numFmtId="164" fontId="4" fillId="17" borderId="17" xfId="4" applyNumberFormat="1" applyFont="1" applyFill="1" applyBorder="1" applyAlignment="1">
      <alignment horizontal="right" vertical="center" wrapText="1" indent="1"/>
    </xf>
    <xf numFmtId="44" fontId="4" fillId="17" borderId="17" xfId="2" applyFont="1" applyFill="1" applyBorder="1" applyAlignment="1">
      <alignment horizontal="center" vertical="center" wrapText="1"/>
    </xf>
    <xf numFmtId="166" fontId="4" fillId="17" borderId="17" xfId="4" applyNumberFormat="1" applyFont="1" applyFill="1" applyBorder="1" applyAlignment="1">
      <alignment horizontal="center" vertical="center" wrapText="1"/>
    </xf>
    <xf numFmtId="177" fontId="5" fillId="4" borderId="1" xfId="0" applyNumberFormat="1" applyFont="1" applyFill="1" applyBorder="1" applyAlignment="1">
      <alignment horizontal="center" vertical="center" wrapText="1"/>
    </xf>
    <xf numFmtId="177" fontId="5" fillId="15" borderId="1" xfId="0" applyNumberFormat="1" applyFont="1" applyFill="1" applyBorder="1" applyAlignment="1">
      <alignment horizontal="center" vertical="center" wrapText="1"/>
    </xf>
    <xf numFmtId="177" fontId="5" fillId="18" borderId="1" xfId="0" applyNumberFormat="1" applyFont="1" applyFill="1" applyBorder="1" applyAlignment="1">
      <alignment horizontal="center" vertical="center" wrapText="1"/>
    </xf>
    <xf numFmtId="177" fontId="5" fillId="12" borderId="1" xfId="0" applyNumberFormat="1" applyFont="1" applyFill="1" applyBorder="1" applyAlignment="1">
      <alignment horizontal="center" vertical="center" wrapText="1"/>
    </xf>
    <xf numFmtId="177" fontId="5" fillId="19" borderId="1" xfId="0" applyNumberFormat="1" applyFont="1" applyFill="1" applyBorder="1" applyAlignment="1">
      <alignment horizontal="center" vertical="center" wrapText="1"/>
    </xf>
    <xf numFmtId="177" fontId="5" fillId="16" borderId="1" xfId="0" applyNumberFormat="1" applyFont="1" applyFill="1" applyBorder="1" applyAlignment="1">
      <alignment horizontal="center" vertical="center" wrapText="1"/>
    </xf>
    <xf numFmtId="177" fontId="5" fillId="20" borderId="1" xfId="0" applyNumberFormat="1" applyFont="1" applyFill="1" applyBorder="1" applyAlignment="1">
      <alignment horizontal="center" vertical="center" wrapText="1"/>
    </xf>
    <xf numFmtId="177" fontId="5" fillId="5" borderId="1" xfId="0" applyNumberFormat="1" applyFont="1" applyFill="1" applyBorder="1" applyAlignment="1">
      <alignment horizontal="center" vertical="center" wrapText="1"/>
    </xf>
    <xf numFmtId="177" fontId="5" fillId="17" borderId="1" xfId="0" applyNumberFormat="1" applyFont="1" applyFill="1" applyBorder="1" applyAlignment="1">
      <alignment horizontal="center" vertical="center" wrapText="1"/>
    </xf>
    <xf numFmtId="177" fontId="5" fillId="21" borderId="1" xfId="0" applyNumberFormat="1" applyFont="1" applyFill="1" applyBorder="1" applyAlignment="1">
      <alignment horizontal="center" vertical="center" wrapText="1"/>
    </xf>
    <xf numFmtId="169" fontId="5" fillId="22" borderId="17" xfId="0" applyNumberFormat="1" applyFont="1" applyFill="1" applyBorder="1" applyAlignment="1">
      <alignment horizontal="center" vertical="center"/>
    </xf>
    <xf numFmtId="0" fontId="5" fillId="22" borderId="17" xfId="0" applyFont="1" applyFill="1" applyBorder="1" applyAlignment="1">
      <alignment horizontal="center" vertical="center"/>
    </xf>
    <xf numFmtId="0" fontId="5" fillId="22" borderId="17" xfId="0" applyFont="1" applyFill="1" applyBorder="1" applyAlignment="1">
      <alignment horizontal="center" vertical="center" wrapText="1"/>
    </xf>
    <xf numFmtId="170" fontId="5" fillId="22" borderId="17" xfId="0" applyNumberFormat="1" applyFont="1" applyFill="1" applyBorder="1" applyAlignment="1">
      <alignment horizontal="center" vertical="center" wrapText="1"/>
    </xf>
    <xf numFmtId="172" fontId="5" fillId="22" borderId="17" xfId="0" applyNumberFormat="1" applyFont="1" applyFill="1" applyBorder="1" applyAlignment="1">
      <alignment horizontal="center" vertical="center" wrapText="1"/>
    </xf>
    <xf numFmtId="164" fontId="4" fillId="22" borderId="17" xfId="4" applyNumberFormat="1" applyFont="1" applyFill="1" applyBorder="1" applyAlignment="1">
      <alignment horizontal="right" vertical="center" wrapText="1" indent="1"/>
    </xf>
    <xf numFmtId="164" fontId="4" fillId="22" borderId="17" xfId="4" applyNumberFormat="1" applyFont="1" applyFill="1" applyBorder="1" applyAlignment="1">
      <alignment horizontal="center" vertical="center" wrapText="1"/>
    </xf>
    <xf numFmtId="164" fontId="7" fillId="22" borderId="17" xfId="4" applyNumberFormat="1" applyFont="1" applyFill="1" applyBorder="1" applyAlignment="1">
      <alignment horizontal="center" vertical="center" wrapText="1"/>
    </xf>
    <xf numFmtId="1" fontId="4" fillId="22" borderId="17" xfId="0" applyNumberFormat="1" applyFont="1" applyFill="1" applyBorder="1" applyAlignment="1">
      <alignment horizontal="center" vertical="center" wrapText="1"/>
    </xf>
    <xf numFmtId="1" fontId="4" fillId="22" borderId="17" xfId="1" applyNumberFormat="1" applyFont="1" applyFill="1" applyBorder="1" applyAlignment="1">
      <alignment horizontal="center" vertical="center" wrapText="1"/>
    </xf>
    <xf numFmtId="10" fontId="4" fillId="22" borderId="17" xfId="3" applyNumberFormat="1" applyFont="1" applyFill="1" applyBorder="1" applyAlignment="1">
      <alignment horizontal="center" vertical="center" wrapText="1"/>
    </xf>
    <xf numFmtId="173" fontId="4" fillId="22" borderId="17" xfId="3" applyNumberFormat="1" applyFont="1" applyFill="1" applyBorder="1" applyAlignment="1">
      <alignment horizontal="center" vertical="center" wrapText="1"/>
    </xf>
    <xf numFmtId="44" fontId="4" fillId="22" borderId="17" xfId="2" applyFont="1" applyFill="1" applyBorder="1" applyAlignment="1">
      <alignment horizontal="center" vertical="center" wrapText="1"/>
    </xf>
    <xf numFmtId="166" fontId="4" fillId="22" borderId="17" xfId="4" applyNumberFormat="1" applyFont="1" applyFill="1" applyBorder="1" applyAlignment="1">
      <alignment horizontal="center" vertical="center" wrapText="1"/>
    </xf>
    <xf numFmtId="1" fontId="4" fillId="19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/>
    <xf numFmtId="0" fontId="12" fillId="2" borderId="0" xfId="0" applyFont="1" applyFill="1" applyAlignment="1">
      <alignment horizontal="center" vertical="top"/>
    </xf>
    <xf numFmtId="166" fontId="4" fillId="4" borderId="20" xfId="4" applyNumberFormat="1" applyFont="1" applyFill="1" applyBorder="1" applyAlignment="1">
      <alignment horizontal="center" vertical="center" wrapText="1"/>
    </xf>
    <xf numFmtId="166" fontId="4" fillId="18" borderId="20" xfId="4" applyNumberFormat="1" applyFont="1" applyFill="1" applyBorder="1" applyAlignment="1">
      <alignment horizontal="center" vertical="center" wrapText="1"/>
    </xf>
    <xf numFmtId="166" fontId="4" fillId="15" borderId="20" xfId="4" applyNumberFormat="1" applyFont="1" applyFill="1" applyBorder="1" applyAlignment="1">
      <alignment horizontal="center" vertical="center" wrapText="1"/>
    </xf>
    <xf numFmtId="166" fontId="4" fillId="22" borderId="20" xfId="4" applyNumberFormat="1" applyFont="1" applyFill="1" applyBorder="1" applyAlignment="1">
      <alignment horizontal="center" vertical="center" wrapText="1"/>
    </xf>
    <xf numFmtId="166" fontId="4" fillId="12" borderId="20" xfId="4" applyNumberFormat="1" applyFont="1" applyFill="1" applyBorder="1" applyAlignment="1">
      <alignment horizontal="center" vertical="center" wrapText="1"/>
    </xf>
    <xf numFmtId="166" fontId="4" fillId="20" borderId="20" xfId="4" applyNumberFormat="1" applyFont="1" applyFill="1" applyBorder="1" applyAlignment="1">
      <alignment horizontal="center" vertical="center" wrapText="1"/>
    </xf>
    <xf numFmtId="166" fontId="4" fillId="3" borderId="20" xfId="4" applyNumberFormat="1" applyFont="1" applyFill="1" applyBorder="1" applyAlignment="1">
      <alignment horizontal="center" vertical="center" wrapText="1"/>
    </xf>
    <xf numFmtId="166" fontId="4" fillId="19" borderId="20" xfId="4" applyNumberFormat="1" applyFont="1" applyFill="1" applyBorder="1" applyAlignment="1">
      <alignment horizontal="center" vertical="center" wrapText="1"/>
    </xf>
    <xf numFmtId="166" fontId="4" fillId="21" borderId="20" xfId="4" applyNumberFormat="1" applyFont="1" applyFill="1" applyBorder="1" applyAlignment="1">
      <alignment horizontal="center" vertical="center" wrapText="1"/>
    </xf>
    <xf numFmtId="166" fontId="4" fillId="17" borderId="20" xfId="4" applyNumberFormat="1" applyFont="1" applyFill="1" applyBorder="1" applyAlignment="1">
      <alignment horizontal="center" vertical="center" wrapText="1"/>
    </xf>
    <xf numFmtId="0" fontId="3" fillId="4" borderId="19" xfId="0" applyFont="1" applyFill="1" applyBorder="1"/>
    <xf numFmtId="0" fontId="3" fillId="18" borderId="19" xfId="0" applyFont="1" applyFill="1" applyBorder="1"/>
    <xf numFmtId="0" fontId="3" fillId="15" borderId="19" xfId="0" applyFont="1" applyFill="1" applyBorder="1"/>
    <xf numFmtId="0" fontId="3" fillId="19" borderId="19" xfId="0" applyFont="1" applyFill="1" applyBorder="1"/>
    <xf numFmtId="0" fontId="3" fillId="22" borderId="19" xfId="0" applyFont="1" applyFill="1" applyBorder="1"/>
    <xf numFmtId="0" fontId="3" fillId="12" borderId="19" xfId="0" applyFont="1" applyFill="1" applyBorder="1"/>
    <xf numFmtId="0" fontId="3" fillId="20" borderId="19" xfId="0" applyFont="1" applyFill="1" applyBorder="1"/>
    <xf numFmtId="0" fontId="3" fillId="3" borderId="19" xfId="0" applyFont="1" applyFill="1" applyBorder="1"/>
    <xf numFmtId="166" fontId="4" fillId="4" borderId="2" xfId="4" applyNumberFormat="1" applyFont="1" applyFill="1" applyBorder="1" applyAlignment="1">
      <alignment horizontal="center" vertical="center" wrapText="1"/>
    </xf>
    <xf numFmtId="166" fontId="4" fillId="15" borderId="2" xfId="4" applyNumberFormat="1" applyFont="1" applyFill="1" applyBorder="1" applyAlignment="1">
      <alignment horizontal="center" vertical="center" wrapText="1"/>
    </xf>
    <xf numFmtId="166" fontId="4" fillId="18" borderId="2" xfId="4" applyNumberFormat="1" applyFont="1" applyFill="1" applyBorder="1" applyAlignment="1">
      <alignment horizontal="center" vertical="center" wrapText="1"/>
    </xf>
    <xf numFmtId="166" fontId="4" fillId="12" borderId="2" xfId="4" applyNumberFormat="1" applyFont="1" applyFill="1" applyBorder="1" applyAlignment="1">
      <alignment horizontal="center" vertical="center" wrapText="1"/>
    </xf>
    <xf numFmtId="166" fontId="4" fillId="19" borderId="2" xfId="4" applyNumberFormat="1" applyFont="1" applyFill="1" applyBorder="1" applyAlignment="1">
      <alignment horizontal="center" vertical="center" wrapText="1"/>
    </xf>
    <xf numFmtId="166" fontId="4" fillId="16" borderId="2" xfId="4" applyNumberFormat="1" applyFont="1" applyFill="1" applyBorder="1" applyAlignment="1">
      <alignment horizontal="center" vertical="center" wrapText="1"/>
    </xf>
    <xf numFmtId="166" fontId="4" fillId="20" borderId="2" xfId="4" applyNumberFormat="1" applyFont="1" applyFill="1" applyBorder="1" applyAlignment="1">
      <alignment horizontal="center" vertical="center" wrapText="1"/>
    </xf>
    <xf numFmtId="166" fontId="4" fillId="5" borderId="2" xfId="4" applyNumberFormat="1" applyFont="1" applyFill="1" applyBorder="1" applyAlignment="1">
      <alignment horizontal="center" vertical="center" wrapText="1"/>
    </xf>
    <xf numFmtId="166" fontId="4" fillId="17" borderId="2" xfId="4" applyNumberFormat="1" applyFont="1" applyFill="1" applyBorder="1" applyAlignment="1">
      <alignment horizontal="center" vertical="center" wrapText="1"/>
    </xf>
    <xf numFmtId="166" fontId="4" fillId="21" borderId="2" xfId="4" applyNumberFormat="1" applyFont="1" applyFill="1" applyBorder="1" applyAlignment="1">
      <alignment horizontal="center" vertical="center" wrapText="1"/>
    </xf>
    <xf numFmtId="0" fontId="3" fillId="4" borderId="18" xfId="0" applyFont="1" applyFill="1" applyBorder="1"/>
    <xf numFmtId="0" fontId="3" fillId="15" borderId="18" xfId="0" applyFont="1" applyFill="1" applyBorder="1"/>
    <xf numFmtId="0" fontId="3" fillId="18" borderId="18" xfId="0" applyFont="1" applyFill="1" applyBorder="1"/>
    <xf numFmtId="0" fontId="3" fillId="12" borderId="18" xfId="0" applyFont="1" applyFill="1" applyBorder="1"/>
    <xf numFmtId="0" fontId="3" fillId="19" borderId="18" xfId="0" applyFont="1" applyFill="1" applyBorder="1"/>
    <xf numFmtId="0" fontId="3" fillId="16" borderId="18" xfId="0" applyFont="1" applyFill="1" applyBorder="1"/>
    <xf numFmtId="0" fontId="3" fillId="20" borderId="18" xfId="0" applyFont="1" applyFill="1" applyBorder="1"/>
    <xf numFmtId="0" fontId="3" fillId="5" borderId="18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71" fontId="5" fillId="3" borderId="1" xfId="0" applyNumberFormat="1" applyFont="1" applyFill="1" applyBorder="1" applyAlignment="1">
      <alignment horizontal="center" vertical="center" wrapText="1"/>
    </xf>
    <xf numFmtId="177" fontId="5" fillId="3" borderId="1" xfId="0" applyNumberFormat="1" applyFont="1" applyFill="1" applyBorder="1" applyAlignment="1">
      <alignment horizontal="center" vertical="center" wrapText="1"/>
    </xf>
    <xf numFmtId="164" fontId="4" fillId="3" borderId="1" xfId="4" applyNumberFormat="1" applyFont="1" applyFill="1" applyBorder="1" applyAlignment="1">
      <alignment horizontal="right" vertical="center" wrapText="1" indent="1"/>
    </xf>
    <xf numFmtId="164" fontId="4" fillId="3" borderId="1" xfId="4" applyNumberFormat="1" applyFont="1" applyFill="1" applyBorder="1" applyAlignment="1">
      <alignment horizontal="center" vertical="center" wrapText="1"/>
    </xf>
    <xf numFmtId="164" fontId="7" fillId="3" borderId="1" xfId="4" applyNumberFormat="1" applyFont="1" applyFill="1" applyBorder="1" applyAlignment="1">
      <alignment horizontal="center" vertical="center" wrapText="1"/>
    </xf>
    <xf numFmtId="164" fontId="7" fillId="3" borderId="5" xfId="4" applyNumberFormat="1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1" fontId="4" fillId="3" borderId="1" xfId="1" applyNumberFormat="1" applyFont="1" applyFill="1" applyBorder="1" applyAlignment="1">
      <alignment horizontal="center" vertical="center" wrapText="1"/>
    </xf>
    <xf numFmtId="10" fontId="4" fillId="3" borderId="1" xfId="3" applyNumberFormat="1" applyFont="1" applyFill="1" applyBorder="1" applyAlignment="1">
      <alignment horizontal="center" vertical="center" wrapText="1"/>
    </xf>
    <xf numFmtId="173" fontId="4" fillId="3" borderId="1" xfId="3" applyNumberFormat="1" applyFont="1" applyFill="1" applyBorder="1" applyAlignment="1">
      <alignment horizontal="center" vertical="center" wrapText="1"/>
    </xf>
    <xf numFmtId="44" fontId="4" fillId="3" borderId="1" xfId="2" applyFont="1" applyFill="1" applyBorder="1" applyAlignment="1">
      <alignment horizontal="center" vertical="center" wrapText="1"/>
    </xf>
    <xf numFmtId="166" fontId="4" fillId="3" borderId="1" xfId="4" applyNumberFormat="1" applyFont="1" applyFill="1" applyBorder="1" applyAlignment="1">
      <alignment horizontal="center" vertical="center" wrapText="1"/>
    </xf>
    <xf numFmtId="166" fontId="4" fillId="3" borderId="2" xfId="4" applyNumberFormat="1" applyFont="1" applyFill="1" applyBorder="1" applyAlignment="1">
      <alignment horizontal="center" vertical="center" wrapText="1"/>
    </xf>
    <xf numFmtId="0" fontId="3" fillId="3" borderId="18" xfId="0" applyFont="1" applyFill="1" applyBorder="1"/>
    <xf numFmtId="0" fontId="3" fillId="17" borderId="18" xfId="0" applyFont="1" applyFill="1" applyBorder="1"/>
    <xf numFmtId="0" fontId="3" fillId="23" borderId="18" xfId="0" applyFont="1" applyFill="1" applyBorder="1"/>
    <xf numFmtId="0" fontId="3" fillId="23" borderId="19" xfId="0" applyFont="1" applyFill="1" applyBorder="1"/>
    <xf numFmtId="0" fontId="3" fillId="17" borderId="19" xfId="0" applyFont="1" applyFill="1" applyBorder="1"/>
  </cellXfs>
  <cellStyles count="9">
    <cellStyle name="Comma" xfId="1" builtinId="3"/>
    <cellStyle name="Comma 2" xfId="5" xr:uid="{92EB59F2-9D81-4B59-9699-EAF9F2A4C780}"/>
    <cellStyle name="Comma 3" xfId="7" xr:uid="{B29C2109-FB6C-42C4-A955-FE97DA709C58}"/>
    <cellStyle name="Currency" xfId="2" builtinId="4"/>
    <cellStyle name="Currency 2" xfId="4" xr:uid="{0F6608F8-FE81-41AC-9C10-F830AC863408}"/>
    <cellStyle name="Currency 2 2" xfId="6" xr:uid="{8391B57B-6AA7-43CB-8B95-417B28A28BA5}"/>
    <cellStyle name="Currency 3" xfId="8" xr:uid="{8AF4DCAC-238C-4F45-84AF-AB57679329CA}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D60093"/>
      <color rgb="FF0066FF"/>
      <color rgb="FF0000FF"/>
      <color rgb="FFFFCCCC"/>
      <color rgb="FF66FFFF"/>
      <color rgb="FF33CCFF"/>
      <color rgb="FF0099CC"/>
      <color rgb="FFFBD8C5"/>
      <color rgb="FFFF3300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54553-2E87-417C-9E34-7B126F950670}">
  <sheetPr>
    <tabColor theme="7" tint="-0.249977111117893"/>
  </sheetPr>
  <dimension ref="A1:AG39"/>
  <sheetViews>
    <sheetView topLeftCell="B1" zoomScale="90" zoomScaleNormal="90" workbookViewId="0">
      <pane xSplit="13" ySplit="5" topLeftCell="O19" activePane="bottomRight" state="frozen"/>
      <selection activeCell="B1" sqref="B1"/>
      <selection pane="topRight" activeCell="N1" sqref="N1"/>
      <selection pane="bottomLeft" activeCell="B6" sqref="B6"/>
      <selection pane="bottomRight" activeCell="C19" sqref="C19"/>
    </sheetView>
  </sheetViews>
  <sheetFormatPr defaultColWidth="9.21875" defaultRowHeight="15" customHeight="1" x14ac:dyDescent="0.3"/>
  <cols>
    <col min="1" max="1" width="1.44140625" style="1" customWidth="1"/>
    <col min="2" max="4" width="9.77734375" style="4" customWidth="1"/>
    <col min="5" max="5" width="8.5546875" style="4" customWidth="1"/>
    <col min="6" max="6" width="11.5546875" style="4" customWidth="1"/>
    <col min="7" max="7" width="7.88671875" style="4" customWidth="1"/>
    <col min="8" max="8" width="7.44140625" style="4" customWidth="1"/>
    <col min="9" max="9" width="5.77734375" style="4" customWidth="1"/>
    <col min="10" max="10" width="6.6640625" style="4" customWidth="1"/>
    <col min="11" max="11" width="8" style="5" hidden="1" customWidth="1"/>
    <col min="12" max="12" width="6.77734375" style="5" hidden="1" customWidth="1"/>
    <col min="13" max="13" width="7.77734375" style="5" hidden="1" customWidth="1"/>
    <col min="14" max="14" width="1.109375" style="5" hidden="1" customWidth="1"/>
    <col min="15" max="15" width="7.77734375" style="5" customWidth="1"/>
    <col min="16" max="16" width="7" style="4" customWidth="1"/>
    <col min="17" max="17" width="4.21875" style="6" customWidth="1"/>
    <col min="18" max="18" width="6.88671875" style="7" customWidth="1"/>
    <col min="19" max="19" width="8.44140625" style="8" customWidth="1"/>
    <col min="20" max="20" width="7.88671875" style="8" customWidth="1"/>
    <col min="21" max="21" width="8.44140625" style="8" customWidth="1"/>
    <col min="22" max="22" width="7.6640625" style="5" customWidth="1"/>
    <col min="23" max="23" width="6.44140625" style="5" customWidth="1"/>
    <col min="24" max="24" width="7.21875" style="9" customWidth="1"/>
    <col min="25" max="25" width="10.77734375" style="9" customWidth="1"/>
    <col min="26" max="26" width="10.5546875" style="9" customWidth="1"/>
    <col min="27" max="27" width="9.44140625" style="9" customWidth="1"/>
    <col min="28" max="28" width="1.21875" style="9" customWidth="1"/>
    <col min="29" max="29" width="9.33203125" style="10" bestFit="1" customWidth="1"/>
    <col min="30" max="30" width="11.109375" style="10" customWidth="1"/>
    <col min="31" max="31" width="11.77734375" style="10" customWidth="1"/>
    <col min="32" max="32" width="12.21875" style="10" customWidth="1"/>
    <col min="33" max="33" width="39.33203125" style="1" customWidth="1"/>
    <col min="34" max="16384" width="9.21875" style="1"/>
  </cols>
  <sheetData>
    <row r="1" spans="1:33" ht="6.75" customHeight="1" x14ac:dyDescent="0.3"/>
    <row r="2" spans="1:33" s="2" customFormat="1" ht="20.7" customHeight="1" x14ac:dyDescent="0.3">
      <c r="B2" s="3"/>
      <c r="C2" s="3"/>
      <c r="D2" s="4"/>
      <c r="E2" s="4"/>
      <c r="F2" s="51" t="s">
        <v>42</v>
      </c>
      <c r="G2" s="52"/>
      <c r="H2" s="52"/>
      <c r="I2" s="4"/>
      <c r="J2" s="4"/>
      <c r="K2" s="11"/>
      <c r="L2" s="11"/>
      <c r="M2" s="11"/>
      <c r="N2" s="11"/>
      <c r="O2" s="11"/>
      <c r="P2" s="3"/>
      <c r="Q2" s="12"/>
      <c r="R2" s="13"/>
      <c r="S2" s="14"/>
      <c r="T2" s="14"/>
      <c r="U2" s="14"/>
      <c r="V2" s="11"/>
      <c r="W2" s="11"/>
      <c r="X2" s="15"/>
      <c r="Y2" s="15"/>
      <c r="Z2" s="15"/>
      <c r="AA2" s="15"/>
      <c r="AB2" s="15"/>
      <c r="AC2" s="16"/>
      <c r="AD2" s="16"/>
      <c r="AE2" s="16"/>
      <c r="AF2" s="16"/>
    </row>
    <row r="3" spans="1:33" ht="12.75" customHeight="1" x14ac:dyDescent="0.3">
      <c r="D3" s="4" t="s">
        <v>0</v>
      </c>
    </row>
    <row r="4" spans="1:33" s="43" customFormat="1" ht="14.7" customHeight="1" x14ac:dyDescent="0.3">
      <c r="B4" s="25" t="s">
        <v>13</v>
      </c>
      <c r="C4" s="26"/>
      <c r="D4" s="26"/>
      <c r="E4" s="26"/>
      <c r="F4" s="27"/>
      <c r="G4" s="27"/>
      <c r="H4" s="27"/>
      <c r="I4" s="27"/>
      <c r="J4" s="27"/>
      <c r="K4" s="28" t="s">
        <v>11</v>
      </c>
      <c r="L4" s="29"/>
      <c r="M4" s="29"/>
      <c r="N4" s="29"/>
      <c r="O4" s="30" t="s">
        <v>35</v>
      </c>
      <c r="P4" s="31"/>
      <c r="Q4" s="32"/>
      <c r="R4" s="33"/>
      <c r="S4" s="34"/>
      <c r="T4" s="34"/>
      <c r="U4" s="34"/>
      <c r="V4" s="34"/>
      <c r="W4" s="34"/>
      <c r="X4" s="49" t="s">
        <v>36</v>
      </c>
      <c r="Y4" s="45"/>
      <c r="Z4" s="46">
        <v>4000</v>
      </c>
      <c r="AA4" s="47"/>
      <c r="AB4" s="48"/>
      <c r="AC4" s="35" t="s">
        <v>1</v>
      </c>
      <c r="AD4" s="36"/>
      <c r="AE4" s="36"/>
      <c r="AF4" s="37"/>
      <c r="AG4" s="352"/>
    </row>
    <row r="5" spans="1:33" s="44" customFormat="1" ht="27" customHeight="1" x14ac:dyDescent="0.3">
      <c r="A5" s="43"/>
      <c r="B5" s="184" t="s">
        <v>78</v>
      </c>
      <c r="C5" s="184" t="s">
        <v>79</v>
      </c>
      <c r="D5" s="184" t="s">
        <v>2</v>
      </c>
      <c r="E5" s="184" t="s">
        <v>12</v>
      </c>
      <c r="F5" s="184" t="s">
        <v>9</v>
      </c>
      <c r="G5" s="184" t="s">
        <v>21</v>
      </c>
      <c r="H5" s="184" t="s">
        <v>22</v>
      </c>
      <c r="I5" s="184" t="s">
        <v>25</v>
      </c>
      <c r="J5" s="184" t="s">
        <v>37</v>
      </c>
      <c r="K5" s="185" t="s">
        <v>26</v>
      </c>
      <c r="L5" s="185" t="s">
        <v>3</v>
      </c>
      <c r="M5" s="186" t="s">
        <v>28</v>
      </c>
      <c r="N5" s="187"/>
      <c r="O5" s="188" t="s">
        <v>27</v>
      </c>
      <c r="P5" s="189" t="s">
        <v>4</v>
      </c>
      <c r="Q5" s="190" t="s">
        <v>5</v>
      </c>
      <c r="R5" s="191" t="s">
        <v>6</v>
      </c>
      <c r="S5" s="192" t="s">
        <v>7</v>
      </c>
      <c r="T5" s="193" t="s">
        <v>40</v>
      </c>
      <c r="U5" s="193" t="s">
        <v>41</v>
      </c>
      <c r="V5" s="192" t="s">
        <v>34</v>
      </c>
      <c r="W5" s="192" t="s">
        <v>32</v>
      </c>
      <c r="X5" s="194" t="s">
        <v>29</v>
      </c>
      <c r="Y5" s="194" t="s">
        <v>30</v>
      </c>
      <c r="Z5" s="194" t="s">
        <v>8</v>
      </c>
      <c r="AA5" s="194" t="s">
        <v>31</v>
      </c>
      <c r="AB5" s="194"/>
      <c r="AC5" s="195" t="s">
        <v>14</v>
      </c>
      <c r="AD5" s="195" t="s">
        <v>16</v>
      </c>
      <c r="AE5" s="195" t="s">
        <v>77</v>
      </c>
      <c r="AF5" s="195" t="s">
        <v>17</v>
      </c>
      <c r="AG5" s="353" t="s">
        <v>10</v>
      </c>
    </row>
    <row r="6" spans="1:33" ht="17.7" hidden="1" customHeight="1" x14ac:dyDescent="0.25">
      <c r="B6" s="196" t="s">
        <v>68</v>
      </c>
      <c r="C6" s="196"/>
      <c r="D6" s="197" t="s">
        <v>43</v>
      </c>
      <c r="E6" s="197" t="s">
        <v>44</v>
      </c>
      <c r="F6" s="198" t="s">
        <v>46</v>
      </c>
      <c r="G6" s="198" t="s">
        <v>38</v>
      </c>
      <c r="H6" s="199">
        <v>230</v>
      </c>
      <c r="I6" s="198">
        <v>48</v>
      </c>
      <c r="J6" s="200">
        <f t="shared" ref="J6:J7" si="0">(H6*I6)/1000</f>
        <v>11.04</v>
      </c>
      <c r="K6" s="201">
        <v>21</v>
      </c>
      <c r="L6" s="201">
        <v>0.5</v>
      </c>
      <c r="M6" s="202">
        <f t="shared" ref="M6:M7" si="1">K6+L6</f>
        <v>21.5</v>
      </c>
      <c r="N6" s="203"/>
      <c r="O6" s="203">
        <f t="shared" ref="O6:O7" si="2">M6</f>
        <v>21.5</v>
      </c>
      <c r="P6" s="204">
        <v>1</v>
      </c>
      <c r="Q6" s="205"/>
      <c r="R6" s="206">
        <f t="shared" ref="R6:R7" si="3">Q6/(P6+Q6)</f>
        <v>0</v>
      </c>
      <c r="S6" s="202">
        <f>R6*O6</f>
        <v>0</v>
      </c>
      <c r="T6" s="207"/>
      <c r="U6" s="201">
        <f>T6*O6</f>
        <v>0</v>
      </c>
      <c r="V6" s="203">
        <f t="shared" ref="V6:V7" si="4">O6-(S6+U6)</f>
        <v>21.5</v>
      </c>
      <c r="W6" s="208">
        <f t="shared" ref="W6:W28" si="5">V6/((H6*I6)/100)</f>
        <v>0.19474637681159418</v>
      </c>
      <c r="X6" s="208">
        <v>0.5</v>
      </c>
      <c r="Y6" s="208">
        <f t="shared" ref="Y6:Y28" si="6">V6+X6</f>
        <v>22</v>
      </c>
      <c r="Z6" s="209">
        <f>Z4</f>
        <v>4000</v>
      </c>
      <c r="AA6" s="209">
        <f t="shared" ref="AA6:AA7" si="7">Y6*Z6</f>
        <v>88000</v>
      </c>
      <c r="AB6" s="209"/>
      <c r="AC6" s="209">
        <v>2500</v>
      </c>
      <c r="AD6" s="209">
        <f t="shared" ref="AD6:AD7" si="8">AC6-(AA6/I6)</f>
        <v>666.66666666666674</v>
      </c>
      <c r="AE6" s="209">
        <f t="shared" ref="AE6:AE7" si="9">AC6*I6</f>
        <v>120000</v>
      </c>
      <c r="AF6" s="354">
        <f t="shared" ref="AF6:AF7" si="10">AE6-AA6</f>
        <v>32000</v>
      </c>
      <c r="AG6" s="364"/>
    </row>
    <row r="7" spans="1:33" ht="17.7" hidden="1" customHeight="1" x14ac:dyDescent="0.25">
      <c r="B7" s="196" t="s">
        <v>68</v>
      </c>
      <c r="C7" s="196"/>
      <c r="D7" s="197" t="s">
        <v>43</v>
      </c>
      <c r="E7" s="197" t="s">
        <v>44</v>
      </c>
      <c r="F7" s="198" t="s">
        <v>46</v>
      </c>
      <c r="G7" s="198" t="s">
        <v>38</v>
      </c>
      <c r="H7" s="199">
        <v>1000</v>
      </c>
      <c r="I7" s="198">
        <v>12</v>
      </c>
      <c r="J7" s="200">
        <f t="shared" si="0"/>
        <v>12</v>
      </c>
      <c r="K7" s="201">
        <v>21.9</v>
      </c>
      <c r="L7" s="201">
        <v>0.6</v>
      </c>
      <c r="M7" s="202">
        <f t="shared" si="1"/>
        <v>22.5</v>
      </c>
      <c r="N7" s="203"/>
      <c r="O7" s="203">
        <f t="shared" si="2"/>
        <v>22.5</v>
      </c>
      <c r="P7" s="204">
        <v>1</v>
      </c>
      <c r="Q7" s="205"/>
      <c r="R7" s="206">
        <f t="shared" si="3"/>
        <v>0</v>
      </c>
      <c r="S7" s="202">
        <f t="shared" ref="S7:S39" si="11">R7*O7</f>
        <v>0</v>
      </c>
      <c r="T7" s="207"/>
      <c r="U7" s="201">
        <f t="shared" ref="U7" si="12">T7*O7</f>
        <v>0</v>
      </c>
      <c r="V7" s="203">
        <f t="shared" si="4"/>
        <v>22.5</v>
      </c>
      <c r="W7" s="208">
        <f t="shared" si="5"/>
        <v>0.1875</v>
      </c>
      <c r="X7" s="208">
        <v>0.5</v>
      </c>
      <c r="Y7" s="208">
        <f t="shared" si="6"/>
        <v>23</v>
      </c>
      <c r="Z7" s="209">
        <f>Z4</f>
        <v>4000</v>
      </c>
      <c r="AA7" s="209">
        <f t="shared" si="7"/>
        <v>92000</v>
      </c>
      <c r="AB7" s="209"/>
      <c r="AC7" s="209">
        <v>9000</v>
      </c>
      <c r="AD7" s="209">
        <f t="shared" si="8"/>
        <v>1333.333333333333</v>
      </c>
      <c r="AE7" s="209">
        <f t="shared" si="9"/>
        <v>108000</v>
      </c>
      <c r="AF7" s="354">
        <f t="shared" si="10"/>
        <v>16000</v>
      </c>
      <c r="AG7" s="364"/>
    </row>
    <row r="8" spans="1:33" ht="17.7" hidden="1" customHeight="1" x14ac:dyDescent="0.25">
      <c r="B8" s="196" t="s">
        <v>68</v>
      </c>
      <c r="C8" s="196"/>
      <c r="D8" s="197" t="s">
        <v>43</v>
      </c>
      <c r="E8" s="197" t="s">
        <v>44</v>
      </c>
      <c r="F8" s="198" t="s">
        <v>46</v>
      </c>
      <c r="G8" s="198" t="s">
        <v>38</v>
      </c>
      <c r="H8" s="199">
        <v>1900</v>
      </c>
      <c r="I8" s="198">
        <v>6</v>
      </c>
      <c r="J8" s="200">
        <f t="shared" ref="J8:J9" si="13">(H8*I8)/1000</f>
        <v>11.4</v>
      </c>
      <c r="K8" s="201">
        <v>21.9</v>
      </c>
      <c r="L8" s="201">
        <v>0.6</v>
      </c>
      <c r="M8" s="202">
        <f t="shared" ref="M8:M9" si="14">K8+L8</f>
        <v>22.5</v>
      </c>
      <c r="N8" s="203"/>
      <c r="O8" s="203">
        <f t="shared" ref="O8:O9" si="15">M8</f>
        <v>22.5</v>
      </c>
      <c r="P8" s="204">
        <v>1</v>
      </c>
      <c r="Q8" s="205"/>
      <c r="R8" s="206">
        <f t="shared" ref="R8:R9" si="16">Q8/(P8+Q8)</f>
        <v>0</v>
      </c>
      <c r="S8" s="202">
        <f t="shared" si="11"/>
        <v>0</v>
      </c>
      <c r="T8" s="207"/>
      <c r="U8" s="201">
        <f>T8*O8</f>
        <v>0</v>
      </c>
      <c r="V8" s="203">
        <f t="shared" ref="V8:V9" si="17">O8-(S8+U8)</f>
        <v>22.5</v>
      </c>
      <c r="W8" s="208">
        <f t="shared" si="5"/>
        <v>0.19736842105263158</v>
      </c>
      <c r="X8" s="208">
        <v>0.5</v>
      </c>
      <c r="Y8" s="208">
        <f t="shared" si="6"/>
        <v>23</v>
      </c>
      <c r="Z8" s="209">
        <f>Z4</f>
        <v>4000</v>
      </c>
      <c r="AA8" s="209">
        <f t="shared" ref="AA8:AA9" si="18">Y8*Z8</f>
        <v>92000</v>
      </c>
      <c r="AB8" s="209"/>
      <c r="AC8" s="209">
        <v>18000</v>
      </c>
      <c r="AD8" s="209">
        <f t="shared" ref="AD8:AD9" si="19">AC8-(AA8/I8)</f>
        <v>2666.6666666666661</v>
      </c>
      <c r="AE8" s="209">
        <f t="shared" ref="AE8:AE9" si="20">AC8*I8</f>
        <v>108000</v>
      </c>
      <c r="AF8" s="354">
        <f t="shared" ref="AF8:AF9" si="21">AE8-AA8</f>
        <v>16000</v>
      </c>
      <c r="AG8" s="364"/>
    </row>
    <row r="9" spans="1:33" ht="17.7" hidden="1" customHeight="1" x14ac:dyDescent="0.25">
      <c r="B9" s="196" t="s">
        <v>68</v>
      </c>
      <c r="C9" s="196"/>
      <c r="D9" s="197" t="s">
        <v>43</v>
      </c>
      <c r="E9" s="197" t="s">
        <v>44</v>
      </c>
      <c r="F9" s="198" t="s">
        <v>46</v>
      </c>
      <c r="G9" s="198" t="s">
        <v>38</v>
      </c>
      <c r="H9" s="199">
        <v>5000</v>
      </c>
      <c r="I9" s="198">
        <v>4</v>
      </c>
      <c r="J9" s="200">
        <f t="shared" si="13"/>
        <v>20</v>
      </c>
      <c r="K9" s="201">
        <v>44.7</v>
      </c>
      <c r="L9" s="201">
        <v>0.6</v>
      </c>
      <c r="M9" s="202">
        <f t="shared" si="14"/>
        <v>45.300000000000004</v>
      </c>
      <c r="N9" s="203"/>
      <c r="O9" s="203">
        <f t="shared" si="15"/>
        <v>45.300000000000004</v>
      </c>
      <c r="P9" s="204">
        <v>1</v>
      </c>
      <c r="Q9" s="205"/>
      <c r="R9" s="206">
        <f t="shared" si="16"/>
        <v>0</v>
      </c>
      <c r="S9" s="202">
        <f t="shared" si="11"/>
        <v>0</v>
      </c>
      <c r="T9" s="207"/>
      <c r="U9" s="201">
        <f t="shared" ref="U9" si="22">T9*O9</f>
        <v>0</v>
      </c>
      <c r="V9" s="203">
        <f t="shared" si="17"/>
        <v>45.300000000000004</v>
      </c>
      <c r="W9" s="208">
        <f t="shared" si="5"/>
        <v>0.22650000000000003</v>
      </c>
      <c r="X9" s="208">
        <v>0.5</v>
      </c>
      <c r="Y9" s="208">
        <f t="shared" si="6"/>
        <v>45.800000000000004</v>
      </c>
      <c r="Z9" s="209">
        <f>Z4</f>
        <v>4000</v>
      </c>
      <c r="AA9" s="209">
        <f t="shared" si="18"/>
        <v>183200.00000000003</v>
      </c>
      <c r="AB9" s="209"/>
      <c r="AC9" s="209">
        <v>52000</v>
      </c>
      <c r="AD9" s="209">
        <f t="shared" si="19"/>
        <v>6199.9999999999927</v>
      </c>
      <c r="AE9" s="209">
        <f t="shared" si="20"/>
        <v>208000</v>
      </c>
      <c r="AF9" s="354">
        <f t="shared" si="21"/>
        <v>24799.999999999971</v>
      </c>
      <c r="AG9" s="364"/>
    </row>
    <row r="10" spans="1:33" ht="17.7" hidden="1" customHeight="1" x14ac:dyDescent="0.25">
      <c r="B10" s="210" t="s">
        <v>68</v>
      </c>
      <c r="C10" s="210"/>
      <c r="D10" s="211" t="s">
        <v>43</v>
      </c>
      <c r="E10" s="211" t="s">
        <v>47</v>
      </c>
      <c r="F10" s="212" t="s">
        <v>47</v>
      </c>
      <c r="G10" s="212" t="s">
        <v>38</v>
      </c>
      <c r="H10" s="213">
        <v>1000</v>
      </c>
      <c r="I10" s="212">
        <v>12</v>
      </c>
      <c r="J10" s="214">
        <f t="shared" ref="J10:J13" si="23">(H10*I10)/1000</f>
        <v>12</v>
      </c>
      <c r="K10" s="215">
        <v>29.1</v>
      </c>
      <c r="L10" s="215">
        <v>0.6</v>
      </c>
      <c r="M10" s="216">
        <f t="shared" ref="M10:M13" si="24">K10+L10</f>
        <v>29.700000000000003</v>
      </c>
      <c r="N10" s="217"/>
      <c r="O10" s="217">
        <f t="shared" ref="O10:O13" si="25">M10</f>
        <v>29.700000000000003</v>
      </c>
      <c r="P10" s="218">
        <v>1</v>
      </c>
      <c r="Q10" s="219"/>
      <c r="R10" s="220">
        <f t="shared" ref="R10:R13" si="26">Q10/(P10+Q10)</f>
        <v>0</v>
      </c>
      <c r="S10" s="216">
        <f t="shared" si="11"/>
        <v>0</v>
      </c>
      <c r="T10" s="221"/>
      <c r="U10" s="215">
        <f t="shared" ref="U10:U11" si="27">T10*O10</f>
        <v>0</v>
      </c>
      <c r="V10" s="217">
        <f t="shared" ref="V10:V13" si="28">O10-(S10+U10)</f>
        <v>29.700000000000003</v>
      </c>
      <c r="W10" s="222">
        <f t="shared" si="5"/>
        <v>0.24750000000000003</v>
      </c>
      <c r="X10" s="222">
        <v>0.5</v>
      </c>
      <c r="Y10" s="222">
        <f t="shared" si="6"/>
        <v>30.200000000000003</v>
      </c>
      <c r="Z10" s="223">
        <f>Z4</f>
        <v>4000</v>
      </c>
      <c r="AA10" s="223">
        <f t="shared" ref="AA10:AA13" si="29">Y10*Z10</f>
        <v>120800.00000000001</v>
      </c>
      <c r="AB10" s="223"/>
      <c r="AC10" s="223"/>
      <c r="AD10" s="223">
        <f t="shared" ref="AD10:AD13" si="30">AC10-(AA10/I10)</f>
        <v>-10066.666666666668</v>
      </c>
      <c r="AE10" s="223">
        <f t="shared" ref="AE10:AE13" si="31">AC10*I10</f>
        <v>0</v>
      </c>
      <c r="AF10" s="355">
        <f t="shared" ref="AF10:AF13" si="32">AE10-AA10</f>
        <v>-120800.00000000001</v>
      </c>
      <c r="AG10" s="365"/>
    </row>
    <row r="11" spans="1:33" ht="17.7" hidden="1" customHeight="1" x14ac:dyDescent="0.25">
      <c r="B11" s="224" t="s">
        <v>68</v>
      </c>
      <c r="C11" s="224"/>
      <c r="D11" s="225" t="s">
        <v>43</v>
      </c>
      <c r="E11" s="225" t="s">
        <v>44</v>
      </c>
      <c r="F11" s="226" t="s">
        <v>45</v>
      </c>
      <c r="G11" s="226" t="s">
        <v>38</v>
      </c>
      <c r="H11" s="227">
        <v>1000</v>
      </c>
      <c r="I11" s="226">
        <v>12</v>
      </c>
      <c r="J11" s="228">
        <f t="shared" si="23"/>
        <v>12</v>
      </c>
      <c r="K11" s="229">
        <v>22</v>
      </c>
      <c r="L11" s="229">
        <v>0.6</v>
      </c>
      <c r="M11" s="230">
        <f t="shared" si="24"/>
        <v>22.6</v>
      </c>
      <c r="N11" s="231"/>
      <c r="O11" s="231">
        <f t="shared" si="25"/>
        <v>22.6</v>
      </c>
      <c r="P11" s="232">
        <v>1</v>
      </c>
      <c r="Q11" s="233"/>
      <c r="R11" s="234">
        <f t="shared" si="26"/>
        <v>0</v>
      </c>
      <c r="S11" s="230">
        <f t="shared" si="11"/>
        <v>0</v>
      </c>
      <c r="T11" s="235"/>
      <c r="U11" s="229">
        <f t="shared" si="27"/>
        <v>0</v>
      </c>
      <c r="V11" s="231">
        <f t="shared" si="28"/>
        <v>22.6</v>
      </c>
      <c r="W11" s="236">
        <f t="shared" si="5"/>
        <v>0.18833333333333335</v>
      </c>
      <c r="X11" s="236">
        <v>0.5</v>
      </c>
      <c r="Y11" s="236">
        <f t="shared" si="6"/>
        <v>23.1</v>
      </c>
      <c r="Z11" s="237">
        <f>Z4</f>
        <v>4000</v>
      </c>
      <c r="AA11" s="237">
        <f t="shared" si="29"/>
        <v>92400</v>
      </c>
      <c r="AB11" s="237"/>
      <c r="AC11" s="237">
        <v>8500</v>
      </c>
      <c r="AD11" s="237">
        <f t="shared" si="30"/>
        <v>800</v>
      </c>
      <c r="AE11" s="237">
        <f t="shared" si="31"/>
        <v>102000</v>
      </c>
      <c r="AF11" s="356">
        <f t="shared" si="32"/>
        <v>9600</v>
      </c>
      <c r="AG11" s="366"/>
    </row>
    <row r="12" spans="1:33" ht="17.7" hidden="1" customHeight="1" x14ac:dyDescent="0.25">
      <c r="B12" s="224" t="s">
        <v>68</v>
      </c>
      <c r="C12" s="224"/>
      <c r="D12" s="225" t="s">
        <v>43</v>
      </c>
      <c r="E12" s="225" t="s">
        <v>44</v>
      </c>
      <c r="F12" s="226" t="s">
        <v>45</v>
      </c>
      <c r="G12" s="226" t="s">
        <v>38</v>
      </c>
      <c r="H12" s="227">
        <v>2000</v>
      </c>
      <c r="I12" s="226">
        <v>6</v>
      </c>
      <c r="J12" s="228">
        <f t="shared" si="23"/>
        <v>12</v>
      </c>
      <c r="K12" s="229">
        <v>22</v>
      </c>
      <c r="L12" s="229">
        <v>0.6</v>
      </c>
      <c r="M12" s="230">
        <f t="shared" si="24"/>
        <v>22.6</v>
      </c>
      <c r="N12" s="231"/>
      <c r="O12" s="231">
        <f t="shared" si="25"/>
        <v>22.6</v>
      </c>
      <c r="P12" s="232">
        <v>1</v>
      </c>
      <c r="Q12" s="233"/>
      <c r="R12" s="234">
        <f t="shared" si="26"/>
        <v>0</v>
      </c>
      <c r="S12" s="230">
        <f t="shared" si="11"/>
        <v>0</v>
      </c>
      <c r="T12" s="235"/>
      <c r="U12" s="229">
        <f>T12*O12</f>
        <v>0</v>
      </c>
      <c r="V12" s="231">
        <f t="shared" si="28"/>
        <v>22.6</v>
      </c>
      <c r="W12" s="236">
        <f t="shared" si="5"/>
        <v>0.18833333333333335</v>
      </c>
      <c r="X12" s="236">
        <v>0.5</v>
      </c>
      <c r="Y12" s="236">
        <f t="shared" si="6"/>
        <v>23.1</v>
      </c>
      <c r="Z12" s="237">
        <f>Z4</f>
        <v>4000</v>
      </c>
      <c r="AA12" s="237">
        <f t="shared" si="29"/>
        <v>92400</v>
      </c>
      <c r="AB12" s="237"/>
      <c r="AC12" s="237">
        <v>16000</v>
      </c>
      <c r="AD12" s="237">
        <f t="shared" si="30"/>
        <v>600</v>
      </c>
      <c r="AE12" s="237">
        <f t="shared" si="31"/>
        <v>96000</v>
      </c>
      <c r="AF12" s="356">
        <f t="shared" si="32"/>
        <v>3600</v>
      </c>
      <c r="AG12" s="366"/>
    </row>
    <row r="13" spans="1:33" ht="17.7" hidden="1" customHeight="1" x14ac:dyDescent="0.25">
      <c r="B13" s="224" t="s">
        <v>68</v>
      </c>
      <c r="C13" s="224"/>
      <c r="D13" s="225" t="s">
        <v>43</v>
      </c>
      <c r="E13" s="225" t="s">
        <v>44</v>
      </c>
      <c r="F13" s="226" t="s">
        <v>45</v>
      </c>
      <c r="G13" s="226" t="s">
        <v>38</v>
      </c>
      <c r="H13" s="227">
        <v>5000</v>
      </c>
      <c r="I13" s="226">
        <v>4</v>
      </c>
      <c r="J13" s="228">
        <f t="shared" si="23"/>
        <v>20</v>
      </c>
      <c r="K13" s="229">
        <v>34</v>
      </c>
      <c r="L13" s="229">
        <v>0.6</v>
      </c>
      <c r="M13" s="230">
        <f t="shared" si="24"/>
        <v>34.6</v>
      </c>
      <c r="N13" s="231"/>
      <c r="O13" s="231">
        <f t="shared" si="25"/>
        <v>34.6</v>
      </c>
      <c r="P13" s="232">
        <v>1</v>
      </c>
      <c r="Q13" s="233"/>
      <c r="R13" s="234">
        <f t="shared" si="26"/>
        <v>0</v>
      </c>
      <c r="S13" s="230">
        <f t="shared" si="11"/>
        <v>0</v>
      </c>
      <c r="T13" s="235"/>
      <c r="U13" s="229">
        <f t="shared" ref="U13:U14" si="33">T13*O13</f>
        <v>0</v>
      </c>
      <c r="V13" s="231">
        <f t="shared" si="28"/>
        <v>34.6</v>
      </c>
      <c r="W13" s="236">
        <f t="shared" si="5"/>
        <v>0.17300000000000001</v>
      </c>
      <c r="X13" s="236">
        <v>0.5</v>
      </c>
      <c r="Y13" s="236">
        <f t="shared" si="6"/>
        <v>35.1</v>
      </c>
      <c r="Z13" s="237">
        <f>Z4</f>
        <v>4000</v>
      </c>
      <c r="AA13" s="237">
        <f t="shared" si="29"/>
        <v>140400</v>
      </c>
      <c r="AB13" s="237"/>
      <c r="AC13" s="237">
        <v>37000</v>
      </c>
      <c r="AD13" s="237">
        <f t="shared" si="30"/>
        <v>1900</v>
      </c>
      <c r="AE13" s="237">
        <f t="shared" si="31"/>
        <v>148000</v>
      </c>
      <c r="AF13" s="356">
        <f t="shared" si="32"/>
        <v>7600</v>
      </c>
      <c r="AG13" s="366"/>
    </row>
    <row r="14" spans="1:33" ht="17.7" hidden="1" customHeight="1" x14ac:dyDescent="0.25">
      <c r="B14" s="282" t="s">
        <v>68</v>
      </c>
      <c r="C14" s="282"/>
      <c r="D14" s="283" t="s">
        <v>43</v>
      </c>
      <c r="E14" s="283" t="s">
        <v>44</v>
      </c>
      <c r="F14" s="284" t="s">
        <v>48</v>
      </c>
      <c r="G14" s="284" t="s">
        <v>38</v>
      </c>
      <c r="H14" s="285">
        <v>1000</v>
      </c>
      <c r="I14" s="284">
        <v>12</v>
      </c>
      <c r="J14" s="286">
        <f t="shared" ref="J14:J21" si="34">(H14*I14)/1000</f>
        <v>12</v>
      </c>
      <c r="K14" s="294">
        <v>22</v>
      </c>
      <c r="L14" s="294">
        <v>0.6</v>
      </c>
      <c r="M14" s="292">
        <f t="shared" ref="M14:M18" si="35">K14+L14</f>
        <v>22.6</v>
      </c>
      <c r="N14" s="288"/>
      <c r="O14" s="288">
        <f t="shared" ref="O14:O39" si="36">M14</f>
        <v>22.6</v>
      </c>
      <c r="P14" s="289">
        <v>1</v>
      </c>
      <c r="Q14" s="290"/>
      <c r="R14" s="291">
        <f t="shared" ref="R14:R28" si="37">Q14/(P14+Q14)</f>
        <v>0</v>
      </c>
      <c r="S14" s="292">
        <f t="shared" si="11"/>
        <v>0</v>
      </c>
      <c r="T14" s="293"/>
      <c r="U14" s="294">
        <f t="shared" si="33"/>
        <v>0</v>
      </c>
      <c r="V14" s="288">
        <f t="shared" ref="V14:V28" si="38">O14-(S14+U14)</f>
        <v>22.6</v>
      </c>
      <c r="W14" s="295">
        <f t="shared" si="5"/>
        <v>0.18833333333333335</v>
      </c>
      <c r="X14" s="295">
        <v>0.5</v>
      </c>
      <c r="Y14" s="295">
        <f t="shared" si="6"/>
        <v>23.1</v>
      </c>
      <c r="Z14" s="296">
        <f>Z4</f>
        <v>4000</v>
      </c>
      <c r="AA14" s="296">
        <f t="shared" ref="AA14:AA28" si="39">Y14*Z14</f>
        <v>92400</v>
      </c>
      <c r="AB14" s="296"/>
      <c r="AC14" s="296">
        <v>8500</v>
      </c>
      <c r="AD14" s="296">
        <f t="shared" ref="AD14:AD35" si="40">AC14-(AA14/I14)</f>
        <v>800</v>
      </c>
      <c r="AE14" s="296">
        <f t="shared" ref="AE14:AE28" si="41">AC14*I14</f>
        <v>102000</v>
      </c>
      <c r="AF14" s="361">
        <f t="shared" ref="AF14:AF28" si="42">AE14-AA14</f>
        <v>9600</v>
      </c>
      <c r="AG14" s="367"/>
    </row>
    <row r="15" spans="1:33" ht="17.7" hidden="1" customHeight="1" x14ac:dyDescent="0.25">
      <c r="B15" s="282" t="s">
        <v>68</v>
      </c>
      <c r="C15" s="282"/>
      <c r="D15" s="283" t="s">
        <v>43</v>
      </c>
      <c r="E15" s="283" t="s">
        <v>44</v>
      </c>
      <c r="F15" s="284" t="s">
        <v>48</v>
      </c>
      <c r="G15" s="284" t="s">
        <v>38</v>
      </c>
      <c r="H15" s="285">
        <v>2000</v>
      </c>
      <c r="I15" s="284">
        <v>6</v>
      </c>
      <c r="J15" s="286">
        <f t="shared" si="34"/>
        <v>12</v>
      </c>
      <c r="K15" s="294">
        <v>22</v>
      </c>
      <c r="L15" s="294">
        <v>0.6</v>
      </c>
      <c r="M15" s="292">
        <f t="shared" si="35"/>
        <v>22.6</v>
      </c>
      <c r="N15" s="288"/>
      <c r="O15" s="288">
        <f t="shared" si="36"/>
        <v>22.6</v>
      </c>
      <c r="P15" s="289">
        <v>1</v>
      </c>
      <c r="Q15" s="290"/>
      <c r="R15" s="291">
        <f t="shared" si="37"/>
        <v>0</v>
      </c>
      <c r="S15" s="292">
        <f t="shared" si="11"/>
        <v>0</v>
      </c>
      <c r="T15" s="293"/>
      <c r="U15" s="294">
        <f>T15*O15</f>
        <v>0</v>
      </c>
      <c r="V15" s="288">
        <f t="shared" si="38"/>
        <v>22.6</v>
      </c>
      <c r="W15" s="295">
        <f t="shared" si="5"/>
        <v>0.18833333333333335</v>
      </c>
      <c r="X15" s="295">
        <v>0.5</v>
      </c>
      <c r="Y15" s="295">
        <f t="shared" si="6"/>
        <v>23.1</v>
      </c>
      <c r="Z15" s="296">
        <f>Z4</f>
        <v>4000</v>
      </c>
      <c r="AA15" s="296">
        <f t="shared" si="39"/>
        <v>92400</v>
      </c>
      <c r="AB15" s="296"/>
      <c r="AC15" s="296">
        <v>16000</v>
      </c>
      <c r="AD15" s="296">
        <f t="shared" si="40"/>
        <v>600</v>
      </c>
      <c r="AE15" s="296">
        <f t="shared" si="41"/>
        <v>96000</v>
      </c>
      <c r="AF15" s="361">
        <f t="shared" si="42"/>
        <v>3600</v>
      </c>
      <c r="AG15" s="367"/>
    </row>
    <row r="16" spans="1:33" ht="17.7" hidden="1" customHeight="1" x14ac:dyDescent="0.25">
      <c r="B16" s="282" t="s">
        <v>68</v>
      </c>
      <c r="C16" s="282"/>
      <c r="D16" s="283" t="s">
        <v>43</v>
      </c>
      <c r="E16" s="283" t="s">
        <v>44</v>
      </c>
      <c r="F16" s="284" t="s">
        <v>48</v>
      </c>
      <c r="G16" s="284" t="s">
        <v>38</v>
      </c>
      <c r="H16" s="285">
        <v>5000</v>
      </c>
      <c r="I16" s="284">
        <v>4</v>
      </c>
      <c r="J16" s="286">
        <f t="shared" si="34"/>
        <v>20</v>
      </c>
      <c r="K16" s="294">
        <v>34</v>
      </c>
      <c r="L16" s="294">
        <v>0.6</v>
      </c>
      <c r="M16" s="292">
        <f t="shared" si="35"/>
        <v>34.6</v>
      </c>
      <c r="N16" s="288"/>
      <c r="O16" s="288">
        <f t="shared" si="36"/>
        <v>34.6</v>
      </c>
      <c r="P16" s="289">
        <v>1</v>
      </c>
      <c r="Q16" s="290"/>
      <c r="R16" s="291">
        <f t="shared" si="37"/>
        <v>0</v>
      </c>
      <c r="S16" s="292">
        <f t="shared" si="11"/>
        <v>0</v>
      </c>
      <c r="T16" s="293"/>
      <c r="U16" s="294">
        <f t="shared" ref="U16:U17" si="43">T16*O16</f>
        <v>0</v>
      </c>
      <c r="V16" s="288">
        <f t="shared" si="38"/>
        <v>34.6</v>
      </c>
      <c r="W16" s="295">
        <f t="shared" si="5"/>
        <v>0.17300000000000001</v>
      </c>
      <c r="X16" s="295">
        <v>0.5</v>
      </c>
      <c r="Y16" s="295">
        <f t="shared" si="6"/>
        <v>35.1</v>
      </c>
      <c r="Z16" s="296">
        <f>Z4</f>
        <v>4000</v>
      </c>
      <c r="AA16" s="296">
        <f t="shared" si="39"/>
        <v>140400</v>
      </c>
      <c r="AB16" s="296"/>
      <c r="AC16" s="296">
        <v>37000</v>
      </c>
      <c r="AD16" s="296">
        <f t="shared" si="40"/>
        <v>1900</v>
      </c>
      <c r="AE16" s="296">
        <f t="shared" si="41"/>
        <v>148000</v>
      </c>
      <c r="AF16" s="361">
        <f t="shared" si="42"/>
        <v>7600</v>
      </c>
      <c r="AG16" s="367"/>
    </row>
    <row r="17" spans="2:33" ht="17.7" hidden="1" customHeight="1" x14ac:dyDescent="0.25">
      <c r="B17" s="337" t="s">
        <v>68</v>
      </c>
      <c r="C17" s="337"/>
      <c r="D17" s="338" t="s">
        <v>43</v>
      </c>
      <c r="E17" s="338" t="s">
        <v>49</v>
      </c>
      <c r="F17" s="339" t="s">
        <v>50</v>
      </c>
      <c r="G17" s="339" t="s">
        <v>38</v>
      </c>
      <c r="H17" s="340">
        <v>1000</v>
      </c>
      <c r="I17" s="339">
        <v>12</v>
      </c>
      <c r="J17" s="341">
        <f t="shared" si="34"/>
        <v>12</v>
      </c>
      <c r="K17" s="342">
        <v>43.8</v>
      </c>
      <c r="L17" s="342">
        <v>0.8</v>
      </c>
      <c r="M17" s="343">
        <f t="shared" si="35"/>
        <v>44.599999999999994</v>
      </c>
      <c r="N17" s="344"/>
      <c r="O17" s="344">
        <f t="shared" si="36"/>
        <v>44.599999999999994</v>
      </c>
      <c r="P17" s="345">
        <v>1</v>
      </c>
      <c r="Q17" s="346"/>
      <c r="R17" s="347">
        <f t="shared" si="37"/>
        <v>0</v>
      </c>
      <c r="S17" s="343">
        <f t="shared" si="11"/>
        <v>0</v>
      </c>
      <c r="T17" s="348"/>
      <c r="U17" s="342">
        <f t="shared" si="43"/>
        <v>0</v>
      </c>
      <c r="V17" s="344">
        <f t="shared" si="38"/>
        <v>44.599999999999994</v>
      </c>
      <c r="W17" s="349">
        <f t="shared" si="5"/>
        <v>0.37166666666666665</v>
      </c>
      <c r="X17" s="349">
        <v>1</v>
      </c>
      <c r="Y17" s="349">
        <f t="shared" si="6"/>
        <v>45.599999999999994</v>
      </c>
      <c r="Z17" s="350">
        <f>Z4</f>
        <v>4000</v>
      </c>
      <c r="AA17" s="350">
        <f t="shared" si="39"/>
        <v>182399.99999999997</v>
      </c>
      <c r="AB17" s="350"/>
      <c r="AC17" s="350">
        <v>18000</v>
      </c>
      <c r="AD17" s="350">
        <f t="shared" si="40"/>
        <v>2800.0000000000018</v>
      </c>
      <c r="AE17" s="350">
        <f t="shared" si="41"/>
        <v>216000</v>
      </c>
      <c r="AF17" s="357">
        <f t="shared" si="42"/>
        <v>33600.000000000029</v>
      </c>
      <c r="AG17" s="368"/>
    </row>
    <row r="18" spans="2:33" ht="17.7" hidden="1" customHeight="1" x14ac:dyDescent="0.25">
      <c r="B18" s="337" t="s">
        <v>68</v>
      </c>
      <c r="C18" s="337"/>
      <c r="D18" s="338" t="s">
        <v>43</v>
      </c>
      <c r="E18" s="338" t="s">
        <v>49</v>
      </c>
      <c r="F18" s="339" t="s">
        <v>50</v>
      </c>
      <c r="G18" s="339" t="s">
        <v>38</v>
      </c>
      <c r="H18" s="340">
        <v>2000</v>
      </c>
      <c r="I18" s="339">
        <v>6</v>
      </c>
      <c r="J18" s="341">
        <f t="shared" si="34"/>
        <v>12</v>
      </c>
      <c r="K18" s="342">
        <v>42.5</v>
      </c>
      <c r="L18" s="342">
        <v>0.8</v>
      </c>
      <c r="M18" s="343">
        <f t="shared" si="35"/>
        <v>43.3</v>
      </c>
      <c r="N18" s="344"/>
      <c r="O18" s="344">
        <f t="shared" si="36"/>
        <v>43.3</v>
      </c>
      <c r="P18" s="345">
        <v>1</v>
      </c>
      <c r="Q18" s="346"/>
      <c r="R18" s="347">
        <f t="shared" si="37"/>
        <v>0</v>
      </c>
      <c r="S18" s="343">
        <f t="shared" si="11"/>
        <v>0</v>
      </c>
      <c r="T18" s="348"/>
      <c r="U18" s="342">
        <f>T18*O18</f>
        <v>0</v>
      </c>
      <c r="V18" s="344">
        <f t="shared" si="38"/>
        <v>43.3</v>
      </c>
      <c r="W18" s="349">
        <f t="shared" si="5"/>
        <v>0.36083333333333328</v>
      </c>
      <c r="X18" s="349">
        <v>1</v>
      </c>
      <c r="Y18" s="349">
        <f t="shared" si="6"/>
        <v>44.3</v>
      </c>
      <c r="Z18" s="350">
        <f>Z4</f>
        <v>4000</v>
      </c>
      <c r="AA18" s="350">
        <f t="shared" si="39"/>
        <v>177200</v>
      </c>
      <c r="AB18" s="350"/>
      <c r="AC18" s="350">
        <v>33000</v>
      </c>
      <c r="AD18" s="350">
        <f t="shared" si="40"/>
        <v>3466.6666666666679</v>
      </c>
      <c r="AE18" s="350">
        <f t="shared" si="41"/>
        <v>198000</v>
      </c>
      <c r="AF18" s="357">
        <f t="shared" si="42"/>
        <v>20800</v>
      </c>
      <c r="AG18" s="368"/>
    </row>
    <row r="19" spans="2:33" ht="17.7" customHeight="1" x14ac:dyDescent="0.3">
      <c r="B19" s="238" t="s">
        <v>67</v>
      </c>
      <c r="C19" s="238" t="s">
        <v>80</v>
      </c>
      <c r="D19" s="239" t="s">
        <v>43</v>
      </c>
      <c r="E19" s="239" t="s">
        <v>44</v>
      </c>
      <c r="F19" s="239" t="s">
        <v>53</v>
      </c>
      <c r="G19" s="240" t="s">
        <v>38</v>
      </c>
      <c r="H19" s="241">
        <v>1000</v>
      </c>
      <c r="I19" s="239">
        <v>12</v>
      </c>
      <c r="J19" s="242">
        <f t="shared" si="34"/>
        <v>12</v>
      </c>
      <c r="K19" s="243"/>
      <c r="L19" s="243"/>
      <c r="M19" s="243"/>
      <c r="N19" s="243"/>
      <c r="O19" s="244">
        <v>22.5</v>
      </c>
      <c r="P19" s="245">
        <v>1</v>
      </c>
      <c r="Q19" s="246"/>
      <c r="R19" s="247">
        <f t="shared" si="37"/>
        <v>0</v>
      </c>
      <c r="S19" s="248">
        <f t="shared" si="11"/>
        <v>0</v>
      </c>
      <c r="T19" s="249">
        <f>(O19-19.5)/O19</f>
        <v>0.13333333333333333</v>
      </c>
      <c r="U19" s="250">
        <f t="shared" ref="U19:U28" si="44">T19*O19</f>
        <v>3</v>
      </c>
      <c r="V19" s="244">
        <f t="shared" si="38"/>
        <v>19.5</v>
      </c>
      <c r="W19" s="251">
        <f>V19/((H19*I19)/100)</f>
        <v>0.16250000000000001</v>
      </c>
      <c r="X19" s="251">
        <v>0.5</v>
      </c>
      <c r="Y19" s="251">
        <f t="shared" si="6"/>
        <v>20</v>
      </c>
      <c r="Z19" s="252">
        <f>Z4</f>
        <v>4000</v>
      </c>
      <c r="AA19" s="252">
        <f t="shared" si="39"/>
        <v>80000</v>
      </c>
      <c r="AB19" s="253"/>
      <c r="AC19" s="252">
        <v>9000</v>
      </c>
      <c r="AD19" s="252">
        <f t="shared" si="40"/>
        <v>2333.333333333333</v>
      </c>
      <c r="AE19" s="252">
        <f t="shared" si="41"/>
        <v>108000</v>
      </c>
      <c r="AF19" s="358">
        <f t="shared" si="42"/>
        <v>28000</v>
      </c>
      <c r="AG19" s="369" t="s">
        <v>74</v>
      </c>
    </row>
    <row r="20" spans="2:33" ht="17.7" customHeight="1" x14ac:dyDescent="0.3">
      <c r="B20" s="238" t="s">
        <v>67</v>
      </c>
      <c r="C20" s="238" t="s">
        <v>80</v>
      </c>
      <c r="D20" s="239" t="s">
        <v>43</v>
      </c>
      <c r="E20" s="239" t="s">
        <v>44</v>
      </c>
      <c r="F20" s="239" t="s">
        <v>53</v>
      </c>
      <c r="G20" s="240" t="s">
        <v>38</v>
      </c>
      <c r="H20" s="241">
        <v>2000</v>
      </c>
      <c r="I20" s="239">
        <v>6</v>
      </c>
      <c r="J20" s="242">
        <f t="shared" si="34"/>
        <v>12</v>
      </c>
      <c r="K20" s="243"/>
      <c r="L20" s="243"/>
      <c r="M20" s="243"/>
      <c r="N20" s="243"/>
      <c r="O20" s="244">
        <v>22</v>
      </c>
      <c r="P20" s="245">
        <v>1</v>
      </c>
      <c r="Q20" s="246"/>
      <c r="R20" s="247">
        <f t="shared" si="37"/>
        <v>0</v>
      </c>
      <c r="S20" s="248">
        <f t="shared" si="11"/>
        <v>0</v>
      </c>
      <c r="T20" s="249">
        <f>(O20-19)/O20</f>
        <v>0.13636363636363635</v>
      </c>
      <c r="U20" s="250">
        <f t="shared" si="44"/>
        <v>3</v>
      </c>
      <c r="V20" s="244">
        <f t="shared" si="38"/>
        <v>19</v>
      </c>
      <c r="W20" s="251">
        <f t="shared" si="5"/>
        <v>0.15833333333333333</v>
      </c>
      <c r="X20" s="251">
        <v>0.5</v>
      </c>
      <c r="Y20" s="251">
        <f t="shared" si="6"/>
        <v>19.5</v>
      </c>
      <c r="Z20" s="252">
        <f>Z4</f>
        <v>4000</v>
      </c>
      <c r="AA20" s="252">
        <f t="shared" si="39"/>
        <v>78000</v>
      </c>
      <c r="AB20" s="253"/>
      <c r="AC20" s="252">
        <v>18000</v>
      </c>
      <c r="AD20" s="252">
        <f t="shared" si="40"/>
        <v>5000</v>
      </c>
      <c r="AE20" s="252">
        <f t="shared" si="41"/>
        <v>108000</v>
      </c>
      <c r="AF20" s="358">
        <f t="shared" si="42"/>
        <v>30000</v>
      </c>
      <c r="AG20" s="369" t="s">
        <v>75</v>
      </c>
    </row>
    <row r="21" spans="2:33" ht="17.7" customHeight="1" x14ac:dyDescent="0.3">
      <c r="B21" s="238" t="s">
        <v>67</v>
      </c>
      <c r="C21" s="238" t="s">
        <v>80</v>
      </c>
      <c r="D21" s="239" t="s">
        <v>43</v>
      </c>
      <c r="E21" s="239" t="s">
        <v>44</v>
      </c>
      <c r="F21" s="239" t="s">
        <v>53</v>
      </c>
      <c r="G21" s="240" t="s">
        <v>38</v>
      </c>
      <c r="H21" s="241">
        <v>5000</v>
      </c>
      <c r="I21" s="239">
        <v>4</v>
      </c>
      <c r="J21" s="242">
        <f t="shared" si="34"/>
        <v>20</v>
      </c>
      <c r="K21" s="243"/>
      <c r="L21" s="243"/>
      <c r="M21" s="243"/>
      <c r="N21" s="243"/>
      <c r="O21" s="244">
        <v>34</v>
      </c>
      <c r="P21" s="245">
        <v>1</v>
      </c>
      <c r="Q21" s="246"/>
      <c r="R21" s="247">
        <f t="shared" si="37"/>
        <v>0</v>
      </c>
      <c r="S21" s="248">
        <f t="shared" si="11"/>
        <v>0</v>
      </c>
      <c r="T21" s="249"/>
      <c r="U21" s="250">
        <f t="shared" si="44"/>
        <v>0</v>
      </c>
      <c r="V21" s="244">
        <f t="shared" si="38"/>
        <v>34</v>
      </c>
      <c r="W21" s="251">
        <f t="shared" si="5"/>
        <v>0.17</v>
      </c>
      <c r="X21" s="251">
        <v>1</v>
      </c>
      <c r="Y21" s="251">
        <f t="shared" si="6"/>
        <v>35</v>
      </c>
      <c r="Z21" s="252">
        <f>Z4</f>
        <v>4000</v>
      </c>
      <c r="AA21" s="252">
        <f t="shared" si="39"/>
        <v>140000</v>
      </c>
      <c r="AB21" s="253"/>
      <c r="AC21" s="252">
        <v>37000</v>
      </c>
      <c r="AD21" s="252">
        <f t="shared" si="40"/>
        <v>2000</v>
      </c>
      <c r="AE21" s="252">
        <f t="shared" si="41"/>
        <v>148000</v>
      </c>
      <c r="AF21" s="358">
        <f t="shared" si="42"/>
        <v>8000</v>
      </c>
      <c r="AG21" s="369"/>
    </row>
    <row r="22" spans="2:33" ht="17.7" customHeight="1" x14ac:dyDescent="0.25">
      <c r="B22" s="238" t="s">
        <v>67</v>
      </c>
      <c r="C22" s="238" t="s">
        <v>80</v>
      </c>
      <c r="D22" s="254" t="s">
        <v>43</v>
      </c>
      <c r="E22" s="254" t="s">
        <v>44</v>
      </c>
      <c r="F22" s="254" t="s">
        <v>51</v>
      </c>
      <c r="G22" s="255" t="s">
        <v>38</v>
      </c>
      <c r="H22" s="256">
        <v>250</v>
      </c>
      <c r="I22" s="254">
        <v>48</v>
      </c>
      <c r="J22" s="257">
        <f t="shared" ref="J22:J28" si="45">(H22*I22)/1000</f>
        <v>12</v>
      </c>
      <c r="K22" s="258"/>
      <c r="L22" s="258"/>
      <c r="M22" s="259"/>
      <c r="N22" s="259"/>
      <c r="O22" s="259">
        <f t="shared" si="36"/>
        <v>0</v>
      </c>
      <c r="P22" s="260">
        <v>1</v>
      </c>
      <c r="Q22" s="261"/>
      <c r="R22" s="262">
        <f t="shared" si="37"/>
        <v>0</v>
      </c>
      <c r="S22" s="263">
        <f t="shared" si="11"/>
        <v>0</v>
      </c>
      <c r="T22" s="264"/>
      <c r="U22" s="258">
        <f t="shared" si="44"/>
        <v>0</v>
      </c>
      <c r="V22" s="259">
        <f t="shared" si="38"/>
        <v>0</v>
      </c>
      <c r="W22" s="265">
        <f t="shared" si="5"/>
        <v>0</v>
      </c>
      <c r="X22" s="265"/>
      <c r="Y22" s="265">
        <f t="shared" si="6"/>
        <v>0</v>
      </c>
      <c r="Z22" s="266">
        <f>Z4</f>
        <v>4000</v>
      </c>
      <c r="AA22" s="266">
        <f t="shared" si="39"/>
        <v>0</v>
      </c>
      <c r="AB22" s="266"/>
      <c r="AC22" s="266"/>
      <c r="AD22" s="266">
        <f>AC22-(AA22/I22)</f>
        <v>0</v>
      </c>
      <c r="AE22" s="266">
        <f t="shared" si="41"/>
        <v>0</v>
      </c>
      <c r="AF22" s="359">
        <f t="shared" si="42"/>
        <v>0</v>
      </c>
      <c r="AG22" s="370"/>
    </row>
    <row r="23" spans="2:33" ht="17.7" customHeight="1" x14ac:dyDescent="0.25">
      <c r="B23" s="238" t="s">
        <v>67</v>
      </c>
      <c r="C23" s="238" t="s">
        <v>80</v>
      </c>
      <c r="D23" s="254" t="s">
        <v>43</v>
      </c>
      <c r="E23" s="254" t="s">
        <v>44</v>
      </c>
      <c r="F23" s="254" t="s">
        <v>51</v>
      </c>
      <c r="G23" s="255" t="s">
        <v>38</v>
      </c>
      <c r="H23" s="256">
        <v>1000</v>
      </c>
      <c r="I23" s="254">
        <v>12</v>
      </c>
      <c r="J23" s="257">
        <f t="shared" si="45"/>
        <v>12</v>
      </c>
      <c r="K23" s="258"/>
      <c r="L23" s="258"/>
      <c r="M23" s="259"/>
      <c r="N23" s="259"/>
      <c r="O23" s="259">
        <f t="shared" si="36"/>
        <v>0</v>
      </c>
      <c r="P23" s="260">
        <v>1</v>
      </c>
      <c r="Q23" s="261"/>
      <c r="R23" s="262">
        <f t="shared" si="37"/>
        <v>0</v>
      </c>
      <c r="S23" s="263">
        <f t="shared" si="11"/>
        <v>0</v>
      </c>
      <c r="T23" s="264"/>
      <c r="U23" s="258">
        <f t="shared" si="44"/>
        <v>0</v>
      </c>
      <c r="V23" s="259">
        <f t="shared" si="38"/>
        <v>0</v>
      </c>
      <c r="W23" s="265">
        <f t="shared" si="5"/>
        <v>0</v>
      </c>
      <c r="X23" s="265"/>
      <c r="Y23" s="265">
        <f t="shared" si="6"/>
        <v>0</v>
      </c>
      <c r="Z23" s="266">
        <f>Z4</f>
        <v>4000</v>
      </c>
      <c r="AA23" s="266">
        <f t="shared" si="39"/>
        <v>0</v>
      </c>
      <c r="AB23" s="266"/>
      <c r="AC23" s="266">
        <v>8000</v>
      </c>
      <c r="AD23" s="266"/>
      <c r="AE23" s="266">
        <f t="shared" si="41"/>
        <v>96000</v>
      </c>
      <c r="AF23" s="359">
        <f t="shared" si="42"/>
        <v>96000</v>
      </c>
      <c r="AG23" s="370"/>
    </row>
    <row r="24" spans="2:33" ht="17.7" customHeight="1" x14ac:dyDescent="0.3">
      <c r="B24" s="238" t="s">
        <v>67</v>
      </c>
      <c r="C24" s="238" t="s">
        <v>80</v>
      </c>
      <c r="D24" s="254" t="s">
        <v>43</v>
      </c>
      <c r="E24" s="254" t="s">
        <v>44</v>
      </c>
      <c r="F24" s="254" t="s">
        <v>51</v>
      </c>
      <c r="G24" s="255" t="s">
        <v>38</v>
      </c>
      <c r="H24" s="256">
        <v>2000</v>
      </c>
      <c r="I24" s="254">
        <v>6</v>
      </c>
      <c r="J24" s="257">
        <f t="shared" si="45"/>
        <v>12</v>
      </c>
      <c r="K24" s="267"/>
      <c r="L24" s="267"/>
      <c r="M24" s="267"/>
      <c r="N24" s="267"/>
      <c r="O24" s="259">
        <f t="shared" si="36"/>
        <v>0</v>
      </c>
      <c r="P24" s="260">
        <v>1</v>
      </c>
      <c r="Q24" s="261"/>
      <c r="R24" s="262">
        <f t="shared" si="37"/>
        <v>0</v>
      </c>
      <c r="S24" s="263">
        <f t="shared" si="11"/>
        <v>0</v>
      </c>
      <c r="T24" s="264"/>
      <c r="U24" s="258">
        <f t="shared" si="44"/>
        <v>0</v>
      </c>
      <c r="V24" s="259">
        <f t="shared" si="38"/>
        <v>0</v>
      </c>
      <c r="W24" s="265">
        <f t="shared" si="5"/>
        <v>0</v>
      </c>
      <c r="X24" s="265"/>
      <c r="Y24" s="265">
        <f t="shared" si="6"/>
        <v>0</v>
      </c>
      <c r="Z24" s="266">
        <f>Z4</f>
        <v>4000</v>
      </c>
      <c r="AA24" s="266">
        <f t="shared" si="39"/>
        <v>0</v>
      </c>
      <c r="AB24" s="266"/>
      <c r="AC24" s="266"/>
      <c r="AD24" s="266">
        <f t="shared" si="40"/>
        <v>0</v>
      </c>
      <c r="AE24" s="266">
        <f>AC24*I24</f>
        <v>0</v>
      </c>
      <c r="AF24" s="359">
        <f t="shared" si="42"/>
        <v>0</v>
      </c>
      <c r="AG24" s="370"/>
    </row>
    <row r="25" spans="2:33" ht="17.7" customHeight="1" x14ac:dyDescent="0.3">
      <c r="B25" s="238" t="s">
        <v>67</v>
      </c>
      <c r="C25" s="238" t="s">
        <v>80</v>
      </c>
      <c r="D25" s="254" t="s">
        <v>43</v>
      </c>
      <c r="E25" s="254" t="s">
        <v>44</v>
      </c>
      <c r="F25" s="254" t="s">
        <v>51</v>
      </c>
      <c r="G25" s="255" t="s">
        <v>38</v>
      </c>
      <c r="H25" s="256">
        <v>5000</v>
      </c>
      <c r="I25" s="254">
        <v>4</v>
      </c>
      <c r="J25" s="257">
        <f t="shared" si="45"/>
        <v>20</v>
      </c>
      <c r="K25" s="267"/>
      <c r="L25" s="267"/>
      <c r="M25" s="267"/>
      <c r="N25" s="267"/>
      <c r="O25" s="259">
        <f t="shared" si="36"/>
        <v>0</v>
      </c>
      <c r="P25" s="260">
        <v>1</v>
      </c>
      <c r="Q25" s="261"/>
      <c r="R25" s="262">
        <f t="shared" si="37"/>
        <v>0</v>
      </c>
      <c r="S25" s="263">
        <f t="shared" si="11"/>
        <v>0</v>
      </c>
      <c r="T25" s="264"/>
      <c r="U25" s="258">
        <f t="shared" si="44"/>
        <v>0</v>
      </c>
      <c r="V25" s="259">
        <f t="shared" si="38"/>
        <v>0</v>
      </c>
      <c r="W25" s="265">
        <f t="shared" si="5"/>
        <v>0</v>
      </c>
      <c r="X25" s="265"/>
      <c r="Y25" s="265">
        <f t="shared" si="6"/>
        <v>0</v>
      </c>
      <c r="Z25" s="266">
        <f>Z4</f>
        <v>4000</v>
      </c>
      <c r="AA25" s="266">
        <f t="shared" si="39"/>
        <v>0</v>
      </c>
      <c r="AB25" s="266"/>
      <c r="AC25" s="266"/>
      <c r="AD25" s="266">
        <f t="shared" si="40"/>
        <v>0</v>
      </c>
      <c r="AE25" s="266">
        <f t="shared" si="41"/>
        <v>0</v>
      </c>
      <c r="AF25" s="359">
        <f t="shared" si="42"/>
        <v>0</v>
      </c>
      <c r="AG25" s="370"/>
    </row>
    <row r="26" spans="2:33" ht="17.7" customHeight="1" x14ac:dyDescent="0.3">
      <c r="B26" s="238" t="s">
        <v>67</v>
      </c>
      <c r="C26" s="238" t="s">
        <v>80</v>
      </c>
      <c r="D26" s="268" t="s">
        <v>43</v>
      </c>
      <c r="E26" s="268" t="s">
        <v>44</v>
      </c>
      <c r="F26" s="268" t="s">
        <v>52</v>
      </c>
      <c r="G26" s="269" t="s">
        <v>38</v>
      </c>
      <c r="H26" s="270">
        <v>1000</v>
      </c>
      <c r="I26" s="268">
        <v>12</v>
      </c>
      <c r="J26" s="271">
        <f t="shared" si="45"/>
        <v>12</v>
      </c>
      <c r="K26" s="272"/>
      <c r="L26" s="272"/>
      <c r="M26" s="272"/>
      <c r="N26" s="272"/>
      <c r="O26" s="273">
        <v>24</v>
      </c>
      <c r="P26" s="274">
        <v>1</v>
      </c>
      <c r="Q26" s="275"/>
      <c r="R26" s="276">
        <f t="shared" si="37"/>
        <v>0</v>
      </c>
      <c r="S26" s="277">
        <f t="shared" si="11"/>
        <v>0</v>
      </c>
      <c r="T26" s="278"/>
      <c r="U26" s="279">
        <f t="shared" si="44"/>
        <v>0</v>
      </c>
      <c r="V26" s="273">
        <f t="shared" si="38"/>
        <v>24</v>
      </c>
      <c r="W26" s="280">
        <f t="shared" si="5"/>
        <v>0.2</v>
      </c>
      <c r="X26" s="280"/>
      <c r="Y26" s="280">
        <f t="shared" si="6"/>
        <v>24</v>
      </c>
      <c r="Z26" s="281">
        <f>Z4</f>
        <v>4000</v>
      </c>
      <c r="AA26" s="281">
        <f t="shared" si="39"/>
        <v>96000</v>
      </c>
      <c r="AB26" s="281"/>
      <c r="AC26" s="281">
        <v>9000</v>
      </c>
      <c r="AD26" s="281">
        <f t="shared" si="40"/>
        <v>1000</v>
      </c>
      <c r="AE26" s="281">
        <f t="shared" si="41"/>
        <v>108000</v>
      </c>
      <c r="AF26" s="360">
        <f t="shared" si="42"/>
        <v>12000</v>
      </c>
      <c r="AG26" s="371"/>
    </row>
    <row r="27" spans="2:33" ht="17.7" customHeight="1" x14ac:dyDescent="0.3">
      <c r="B27" s="238" t="s">
        <v>67</v>
      </c>
      <c r="C27" s="238" t="s">
        <v>80</v>
      </c>
      <c r="D27" s="268" t="s">
        <v>43</v>
      </c>
      <c r="E27" s="268" t="s">
        <v>44</v>
      </c>
      <c r="F27" s="268" t="s">
        <v>52</v>
      </c>
      <c r="G27" s="269" t="s">
        <v>38</v>
      </c>
      <c r="H27" s="270">
        <v>2000</v>
      </c>
      <c r="I27" s="268">
        <v>6</v>
      </c>
      <c r="J27" s="271">
        <f t="shared" si="45"/>
        <v>12</v>
      </c>
      <c r="K27" s="272"/>
      <c r="L27" s="272"/>
      <c r="M27" s="272"/>
      <c r="N27" s="272"/>
      <c r="O27" s="273">
        <v>24</v>
      </c>
      <c r="P27" s="274">
        <v>1</v>
      </c>
      <c r="Q27" s="275"/>
      <c r="R27" s="276">
        <f t="shared" si="37"/>
        <v>0</v>
      </c>
      <c r="S27" s="277">
        <f t="shared" si="11"/>
        <v>0</v>
      </c>
      <c r="T27" s="278"/>
      <c r="U27" s="279">
        <f t="shared" si="44"/>
        <v>0</v>
      </c>
      <c r="V27" s="273">
        <f t="shared" si="38"/>
        <v>24</v>
      </c>
      <c r="W27" s="280">
        <f t="shared" si="5"/>
        <v>0.2</v>
      </c>
      <c r="X27" s="280"/>
      <c r="Y27" s="280">
        <f t="shared" si="6"/>
        <v>24</v>
      </c>
      <c r="Z27" s="281">
        <f>Z4</f>
        <v>4000</v>
      </c>
      <c r="AA27" s="281">
        <f t="shared" si="39"/>
        <v>96000</v>
      </c>
      <c r="AB27" s="281"/>
      <c r="AC27" s="281">
        <v>18000</v>
      </c>
      <c r="AD27" s="281">
        <f t="shared" si="40"/>
        <v>2000</v>
      </c>
      <c r="AE27" s="281">
        <f t="shared" si="41"/>
        <v>108000</v>
      </c>
      <c r="AF27" s="360">
        <f t="shared" si="42"/>
        <v>12000</v>
      </c>
      <c r="AG27" s="371"/>
    </row>
    <row r="28" spans="2:33" ht="17.7" customHeight="1" x14ac:dyDescent="0.3">
      <c r="B28" s="238" t="s">
        <v>67</v>
      </c>
      <c r="C28" s="238" t="s">
        <v>80</v>
      </c>
      <c r="D28" s="268" t="s">
        <v>43</v>
      </c>
      <c r="E28" s="268" t="s">
        <v>44</v>
      </c>
      <c r="F28" s="268" t="s">
        <v>52</v>
      </c>
      <c r="G28" s="269" t="s">
        <v>38</v>
      </c>
      <c r="H28" s="270">
        <v>5000</v>
      </c>
      <c r="I28" s="268">
        <v>4</v>
      </c>
      <c r="J28" s="271">
        <f t="shared" si="45"/>
        <v>20</v>
      </c>
      <c r="K28" s="272"/>
      <c r="L28" s="272"/>
      <c r="M28" s="272"/>
      <c r="N28" s="272"/>
      <c r="O28" s="273">
        <v>37</v>
      </c>
      <c r="P28" s="274">
        <v>1</v>
      </c>
      <c r="Q28" s="275"/>
      <c r="R28" s="276">
        <f t="shared" si="37"/>
        <v>0</v>
      </c>
      <c r="S28" s="277">
        <f t="shared" si="11"/>
        <v>0</v>
      </c>
      <c r="T28" s="278"/>
      <c r="U28" s="279">
        <f t="shared" si="44"/>
        <v>0</v>
      </c>
      <c r="V28" s="273">
        <f t="shared" si="38"/>
        <v>37</v>
      </c>
      <c r="W28" s="280">
        <f t="shared" si="5"/>
        <v>0.185</v>
      </c>
      <c r="X28" s="280"/>
      <c r="Y28" s="280">
        <f t="shared" si="6"/>
        <v>37</v>
      </c>
      <c r="Z28" s="281">
        <f>Z4</f>
        <v>4000</v>
      </c>
      <c r="AA28" s="281">
        <f t="shared" si="39"/>
        <v>148000</v>
      </c>
      <c r="AB28" s="281"/>
      <c r="AC28" s="281">
        <v>38000</v>
      </c>
      <c r="AD28" s="281">
        <f t="shared" si="40"/>
        <v>1000</v>
      </c>
      <c r="AE28" s="281">
        <f t="shared" si="41"/>
        <v>152000</v>
      </c>
      <c r="AF28" s="360">
        <f t="shared" si="42"/>
        <v>4000</v>
      </c>
      <c r="AG28" s="371"/>
    </row>
    <row r="29" spans="2:33" ht="17.7" customHeight="1" x14ac:dyDescent="0.3">
      <c r="B29" s="238" t="s">
        <v>67</v>
      </c>
      <c r="C29" s="238" t="s">
        <v>80</v>
      </c>
      <c r="D29" s="283" t="s">
        <v>43</v>
      </c>
      <c r="E29" s="283" t="s">
        <v>54</v>
      </c>
      <c r="F29" s="283" t="s">
        <v>55</v>
      </c>
      <c r="G29" s="284" t="s">
        <v>38</v>
      </c>
      <c r="H29" s="285">
        <v>1000</v>
      </c>
      <c r="I29" s="283">
        <v>12</v>
      </c>
      <c r="J29" s="286">
        <f t="shared" ref="J29" si="46">(H29*I29)/1000</f>
        <v>12</v>
      </c>
      <c r="K29" s="287"/>
      <c r="L29" s="287"/>
      <c r="M29" s="287"/>
      <c r="N29" s="287"/>
      <c r="O29" s="288">
        <v>16.7</v>
      </c>
      <c r="P29" s="297">
        <v>1</v>
      </c>
      <c r="Q29" s="290"/>
      <c r="R29" s="291">
        <f t="shared" ref="R29" si="47">Q29/(P29+Q29)</f>
        <v>0</v>
      </c>
      <c r="S29" s="292">
        <f t="shared" ref="S29" si="48">R29*O29</f>
        <v>0</v>
      </c>
      <c r="T29" s="293"/>
      <c r="U29" s="294">
        <f t="shared" ref="U29" si="49">T29*O29</f>
        <v>0</v>
      </c>
      <c r="V29" s="288">
        <f t="shared" ref="V29" si="50">O29-(S29+U29)</f>
        <v>16.7</v>
      </c>
      <c r="W29" s="295">
        <f t="shared" ref="W29" si="51">V29/((H29*I29)/100)</f>
        <v>0.13916666666666666</v>
      </c>
      <c r="X29" s="295">
        <v>0.9</v>
      </c>
      <c r="Y29" s="295">
        <f t="shared" ref="Y29" si="52">V29+X29</f>
        <v>17.599999999999998</v>
      </c>
      <c r="Z29" s="296">
        <f>Z4</f>
        <v>4000</v>
      </c>
      <c r="AA29" s="296">
        <f t="shared" ref="AA29" si="53">Y29*Z29</f>
        <v>70399.999999999985</v>
      </c>
      <c r="AB29" s="296"/>
      <c r="AC29" s="296">
        <v>6500</v>
      </c>
      <c r="AD29" s="296">
        <f t="shared" ref="AD29" si="54">AC29-(AA29/I29)</f>
        <v>633.33333333333485</v>
      </c>
      <c r="AE29" s="296">
        <f t="shared" ref="AE29" si="55">AC29*I29</f>
        <v>78000</v>
      </c>
      <c r="AF29" s="361">
        <f t="shared" ref="AF29" si="56">AE29-AA29</f>
        <v>7600.0000000000146</v>
      </c>
      <c r="AG29" s="367"/>
    </row>
    <row r="30" spans="2:33" ht="17.7" customHeight="1" x14ac:dyDescent="0.3">
      <c r="B30" s="238" t="s">
        <v>67</v>
      </c>
      <c r="C30" s="238" t="s">
        <v>80</v>
      </c>
      <c r="D30" s="283" t="s">
        <v>43</v>
      </c>
      <c r="E30" s="283" t="s">
        <v>54</v>
      </c>
      <c r="F30" s="283" t="s">
        <v>55</v>
      </c>
      <c r="G30" s="284" t="s">
        <v>38</v>
      </c>
      <c r="H30" s="285">
        <v>2000</v>
      </c>
      <c r="I30" s="283">
        <v>6</v>
      </c>
      <c r="J30" s="286">
        <f t="shared" ref="J30" si="57">(H30*I30)/1000</f>
        <v>12</v>
      </c>
      <c r="K30" s="287"/>
      <c r="L30" s="287"/>
      <c r="M30" s="287"/>
      <c r="N30" s="287"/>
      <c r="O30" s="288">
        <v>16.7</v>
      </c>
      <c r="P30" s="297">
        <v>1</v>
      </c>
      <c r="Q30" s="290"/>
      <c r="R30" s="291">
        <f t="shared" ref="R30" si="58">Q30/(P30+Q30)</f>
        <v>0</v>
      </c>
      <c r="S30" s="292">
        <f t="shared" ref="S30" si="59">R30*O30</f>
        <v>0</v>
      </c>
      <c r="T30" s="293"/>
      <c r="U30" s="294">
        <f t="shared" ref="U30" si="60">T30*O30</f>
        <v>0</v>
      </c>
      <c r="V30" s="288">
        <f t="shared" ref="V30" si="61">O30-(S30+U30)</f>
        <v>16.7</v>
      </c>
      <c r="W30" s="295">
        <f t="shared" ref="W30" si="62">V30/((H30*I30)/100)</f>
        <v>0.13916666666666666</v>
      </c>
      <c r="X30" s="295">
        <v>0.9</v>
      </c>
      <c r="Y30" s="295">
        <f t="shared" ref="Y30" si="63">V30+X30</f>
        <v>17.599999999999998</v>
      </c>
      <c r="Z30" s="296">
        <f>Z4</f>
        <v>4000</v>
      </c>
      <c r="AA30" s="296">
        <f t="shared" ref="AA30" si="64">Y30*Z30</f>
        <v>70399.999999999985</v>
      </c>
      <c r="AB30" s="296"/>
      <c r="AC30" s="296">
        <v>12000</v>
      </c>
      <c r="AD30" s="296">
        <f t="shared" ref="AD30" si="65">AC30-(AA30/I30)</f>
        <v>266.6666666666697</v>
      </c>
      <c r="AE30" s="296">
        <f t="shared" ref="AE30" si="66">AC30*I30</f>
        <v>72000</v>
      </c>
      <c r="AF30" s="361">
        <f t="shared" ref="AF30" si="67">AE30-AA30</f>
        <v>1600.0000000000146</v>
      </c>
      <c r="AG30" s="367"/>
    </row>
    <row r="31" spans="2:33" ht="17.7" customHeight="1" x14ac:dyDescent="0.3">
      <c r="B31" s="238" t="s">
        <v>67</v>
      </c>
      <c r="C31" s="238" t="s">
        <v>80</v>
      </c>
      <c r="D31" s="283" t="s">
        <v>43</v>
      </c>
      <c r="E31" s="283" t="s">
        <v>54</v>
      </c>
      <c r="F31" s="283" t="s">
        <v>55</v>
      </c>
      <c r="G31" s="284" t="s">
        <v>38</v>
      </c>
      <c r="H31" s="285">
        <v>5000</v>
      </c>
      <c r="I31" s="283">
        <v>4</v>
      </c>
      <c r="J31" s="286">
        <f t="shared" ref="J31" si="68">(H31*I31)/1000</f>
        <v>20</v>
      </c>
      <c r="K31" s="287"/>
      <c r="L31" s="287"/>
      <c r="M31" s="287"/>
      <c r="N31" s="287"/>
      <c r="O31" s="288">
        <v>26</v>
      </c>
      <c r="P31" s="297">
        <v>1</v>
      </c>
      <c r="Q31" s="290"/>
      <c r="R31" s="291">
        <f t="shared" ref="R31" si="69">Q31/(P31+Q31)</f>
        <v>0</v>
      </c>
      <c r="S31" s="292">
        <f t="shared" ref="S31" si="70">R31*O31</f>
        <v>0</v>
      </c>
      <c r="T31" s="293"/>
      <c r="U31" s="294">
        <f t="shared" ref="U31" si="71">T31*O31</f>
        <v>0</v>
      </c>
      <c r="V31" s="288">
        <v>26</v>
      </c>
      <c r="W31" s="295">
        <f t="shared" ref="W31" si="72">V31/((H31*I31)/100)</f>
        <v>0.13</v>
      </c>
      <c r="X31" s="295">
        <v>1.5</v>
      </c>
      <c r="Y31" s="295">
        <f t="shared" ref="Y31" si="73">V31+X31</f>
        <v>27.5</v>
      </c>
      <c r="Z31" s="296">
        <f>Z4</f>
        <v>4000</v>
      </c>
      <c r="AA31" s="296">
        <f t="shared" ref="AA31" si="74">Y31*Z31</f>
        <v>110000</v>
      </c>
      <c r="AB31" s="296"/>
      <c r="AC31" s="296">
        <v>27500</v>
      </c>
      <c r="AD31" s="296">
        <f t="shared" ref="AD31" si="75">AC31-(AA31/I31)</f>
        <v>0</v>
      </c>
      <c r="AE31" s="296">
        <f t="shared" ref="AE31" si="76">AC31*I31</f>
        <v>110000</v>
      </c>
      <c r="AF31" s="361">
        <f t="shared" ref="AF31" si="77">AE31-AA31</f>
        <v>0</v>
      </c>
      <c r="AG31" s="367"/>
    </row>
    <row r="32" spans="2:33" ht="17.7" customHeight="1" x14ac:dyDescent="0.3">
      <c r="B32" s="238" t="s">
        <v>67</v>
      </c>
      <c r="C32" s="238" t="s">
        <v>80</v>
      </c>
      <c r="D32" s="298" t="s">
        <v>43</v>
      </c>
      <c r="E32" s="298" t="s">
        <v>54</v>
      </c>
      <c r="F32" s="298" t="s">
        <v>56</v>
      </c>
      <c r="G32" s="299" t="s">
        <v>38</v>
      </c>
      <c r="H32" s="300">
        <v>1000</v>
      </c>
      <c r="I32" s="298">
        <v>12</v>
      </c>
      <c r="J32" s="301">
        <f t="shared" ref="J32:J39" si="78">(H32*I32)/1000</f>
        <v>12</v>
      </c>
      <c r="K32" s="302"/>
      <c r="L32" s="302"/>
      <c r="M32" s="302"/>
      <c r="N32" s="302"/>
      <c r="O32" s="303">
        <v>15.44</v>
      </c>
      <c r="P32" s="304">
        <v>1</v>
      </c>
      <c r="Q32" s="305"/>
      <c r="R32" s="306">
        <f t="shared" ref="R32:R39" si="79">Q32/(P32+Q32)</f>
        <v>0</v>
      </c>
      <c r="S32" s="307">
        <f t="shared" si="11"/>
        <v>0</v>
      </c>
      <c r="T32" s="308"/>
      <c r="U32" s="309">
        <f t="shared" ref="U32:U39" si="80">T32*O32</f>
        <v>0</v>
      </c>
      <c r="V32" s="303">
        <f t="shared" ref="V32:V39" si="81">O32-(S32+U32)</f>
        <v>15.44</v>
      </c>
      <c r="W32" s="310">
        <f t="shared" ref="W32:W35" si="82">V32/((H32*I32)/100)</f>
        <v>0.12866666666666665</v>
      </c>
      <c r="X32" s="310"/>
      <c r="Y32" s="310">
        <f t="shared" ref="Y32:Y35" si="83">V32+X32</f>
        <v>15.44</v>
      </c>
      <c r="Z32" s="311">
        <f>Z4</f>
        <v>4000</v>
      </c>
      <c r="AA32" s="311">
        <f t="shared" ref="AA32:AA35" si="84">Y32*Z32</f>
        <v>61760</v>
      </c>
      <c r="AB32" s="311"/>
      <c r="AC32" s="311">
        <v>6000</v>
      </c>
      <c r="AD32" s="311">
        <f t="shared" si="40"/>
        <v>853.33333333333303</v>
      </c>
      <c r="AE32" s="311">
        <f t="shared" ref="AE32:AE35" si="85">AC32*I32</f>
        <v>72000</v>
      </c>
      <c r="AF32" s="362">
        <f t="shared" ref="AF32:AF35" si="86">AE32-AA32</f>
        <v>10240</v>
      </c>
      <c r="AG32" s="408"/>
    </row>
    <row r="33" spans="2:33" ht="17.7" customHeight="1" x14ac:dyDescent="0.3">
      <c r="B33" s="238" t="s">
        <v>67</v>
      </c>
      <c r="C33" s="238" t="s">
        <v>80</v>
      </c>
      <c r="D33" s="298" t="s">
        <v>43</v>
      </c>
      <c r="E33" s="298" t="s">
        <v>54</v>
      </c>
      <c r="F33" s="298" t="s">
        <v>56</v>
      </c>
      <c r="G33" s="299" t="s">
        <v>38</v>
      </c>
      <c r="H33" s="300">
        <v>2000</v>
      </c>
      <c r="I33" s="298">
        <v>6</v>
      </c>
      <c r="J33" s="301">
        <f t="shared" si="78"/>
        <v>12</v>
      </c>
      <c r="K33" s="302"/>
      <c r="L33" s="302"/>
      <c r="M33" s="302"/>
      <c r="N33" s="302"/>
      <c r="O33" s="303">
        <v>15.44</v>
      </c>
      <c r="P33" s="304">
        <v>1</v>
      </c>
      <c r="Q33" s="305"/>
      <c r="R33" s="306">
        <f t="shared" si="79"/>
        <v>0</v>
      </c>
      <c r="S33" s="307">
        <f t="shared" si="11"/>
        <v>0</v>
      </c>
      <c r="T33" s="308"/>
      <c r="U33" s="309">
        <f t="shared" si="80"/>
        <v>0</v>
      </c>
      <c r="V33" s="303">
        <f t="shared" si="81"/>
        <v>15.44</v>
      </c>
      <c r="W33" s="310">
        <f t="shared" si="82"/>
        <v>0.12866666666666665</v>
      </c>
      <c r="X33" s="310"/>
      <c r="Y33" s="310">
        <f t="shared" si="83"/>
        <v>15.44</v>
      </c>
      <c r="Z33" s="311">
        <f>Z4</f>
        <v>4000</v>
      </c>
      <c r="AA33" s="311">
        <f t="shared" si="84"/>
        <v>61760</v>
      </c>
      <c r="AB33" s="311"/>
      <c r="AC33" s="311">
        <v>11500</v>
      </c>
      <c r="AD33" s="311">
        <f t="shared" si="40"/>
        <v>1206.6666666666661</v>
      </c>
      <c r="AE33" s="311">
        <f t="shared" si="85"/>
        <v>69000</v>
      </c>
      <c r="AF33" s="362">
        <f t="shared" si="86"/>
        <v>7240</v>
      </c>
      <c r="AG33" s="408"/>
    </row>
    <row r="34" spans="2:33" ht="17.7" customHeight="1" x14ac:dyDescent="0.3">
      <c r="B34" s="238" t="s">
        <v>67</v>
      </c>
      <c r="C34" s="238" t="s">
        <v>80</v>
      </c>
      <c r="D34" s="298" t="s">
        <v>43</v>
      </c>
      <c r="E34" s="298" t="s">
        <v>54</v>
      </c>
      <c r="F34" s="298" t="s">
        <v>56</v>
      </c>
      <c r="G34" s="299" t="s">
        <v>38</v>
      </c>
      <c r="H34" s="300">
        <v>5000</v>
      </c>
      <c r="I34" s="298">
        <v>4</v>
      </c>
      <c r="J34" s="301">
        <f t="shared" si="78"/>
        <v>20</v>
      </c>
      <c r="K34" s="302"/>
      <c r="L34" s="302"/>
      <c r="M34" s="302"/>
      <c r="N34" s="302"/>
      <c r="O34" s="303">
        <v>24.1</v>
      </c>
      <c r="P34" s="304">
        <v>1</v>
      </c>
      <c r="Q34" s="305"/>
      <c r="R34" s="306">
        <f t="shared" si="79"/>
        <v>0</v>
      </c>
      <c r="S34" s="307">
        <f t="shared" si="11"/>
        <v>0</v>
      </c>
      <c r="T34" s="308"/>
      <c r="U34" s="309">
        <f t="shared" si="80"/>
        <v>0</v>
      </c>
      <c r="V34" s="303">
        <f t="shared" si="81"/>
        <v>24.1</v>
      </c>
      <c r="W34" s="310">
        <f t="shared" si="82"/>
        <v>0.12050000000000001</v>
      </c>
      <c r="X34" s="310"/>
      <c r="Y34" s="310">
        <f t="shared" si="83"/>
        <v>24.1</v>
      </c>
      <c r="Z34" s="311">
        <f>Z4</f>
        <v>4000</v>
      </c>
      <c r="AA34" s="311">
        <f t="shared" si="84"/>
        <v>96400</v>
      </c>
      <c r="AB34" s="311"/>
      <c r="AC34" s="311">
        <v>26000</v>
      </c>
      <c r="AD34" s="311">
        <f t="shared" si="40"/>
        <v>1900</v>
      </c>
      <c r="AE34" s="311">
        <f t="shared" si="85"/>
        <v>104000</v>
      </c>
      <c r="AF34" s="362">
        <f t="shared" si="86"/>
        <v>7600</v>
      </c>
      <c r="AG34" s="408"/>
    </row>
    <row r="35" spans="2:33" ht="17.7" customHeight="1" x14ac:dyDescent="0.3">
      <c r="B35" s="238" t="s">
        <v>67</v>
      </c>
      <c r="C35" s="238" t="s">
        <v>80</v>
      </c>
      <c r="D35" s="313" t="s">
        <v>43</v>
      </c>
      <c r="E35" s="313" t="s">
        <v>54</v>
      </c>
      <c r="F35" s="313" t="s">
        <v>57</v>
      </c>
      <c r="G35" s="314" t="s">
        <v>38</v>
      </c>
      <c r="H35" s="315">
        <v>250</v>
      </c>
      <c r="I35" s="313">
        <v>48</v>
      </c>
      <c r="J35" s="316">
        <f t="shared" si="78"/>
        <v>12</v>
      </c>
      <c r="K35" s="317"/>
      <c r="L35" s="317"/>
      <c r="M35" s="317"/>
      <c r="N35" s="317"/>
      <c r="O35" s="318">
        <f t="shared" si="36"/>
        <v>0</v>
      </c>
      <c r="P35" s="319">
        <v>1</v>
      </c>
      <c r="Q35" s="320"/>
      <c r="R35" s="321">
        <f t="shared" si="79"/>
        <v>0</v>
      </c>
      <c r="S35" s="322">
        <f t="shared" si="11"/>
        <v>0</v>
      </c>
      <c r="T35" s="323"/>
      <c r="U35" s="324">
        <f t="shared" si="80"/>
        <v>0</v>
      </c>
      <c r="V35" s="318">
        <f t="shared" si="81"/>
        <v>0</v>
      </c>
      <c r="W35" s="325">
        <f t="shared" si="82"/>
        <v>0</v>
      </c>
      <c r="X35" s="325"/>
      <c r="Y35" s="325">
        <f t="shared" si="83"/>
        <v>0</v>
      </c>
      <c r="Z35" s="326">
        <f>Z4</f>
        <v>4000</v>
      </c>
      <c r="AA35" s="326">
        <f t="shared" si="84"/>
        <v>0</v>
      </c>
      <c r="AB35" s="326"/>
      <c r="AC35" s="326">
        <v>2000</v>
      </c>
      <c r="AD35" s="326">
        <f t="shared" si="40"/>
        <v>2000</v>
      </c>
      <c r="AE35" s="326">
        <f t="shared" si="85"/>
        <v>96000</v>
      </c>
      <c r="AF35" s="363">
        <f t="shared" si="86"/>
        <v>96000</v>
      </c>
      <c r="AG35" s="409"/>
    </row>
    <row r="36" spans="2:33" ht="17.7" customHeight="1" x14ac:dyDescent="0.3">
      <c r="B36" s="238" t="s">
        <v>67</v>
      </c>
      <c r="C36" s="238" t="s">
        <v>80</v>
      </c>
      <c r="D36" s="313" t="s">
        <v>43</v>
      </c>
      <c r="E36" s="313" t="s">
        <v>69</v>
      </c>
      <c r="F36" s="313" t="s">
        <v>70</v>
      </c>
      <c r="G36" s="314" t="s">
        <v>38</v>
      </c>
      <c r="H36" s="315">
        <v>400</v>
      </c>
      <c r="I36" s="313">
        <v>24</v>
      </c>
      <c r="J36" s="316">
        <f t="shared" si="78"/>
        <v>9.6</v>
      </c>
      <c r="K36" s="317"/>
      <c r="L36" s="317"/>
      <c r="M36" s="317"/>
      <c r="N36" s="317"/>
      <c r="O36" s="318">
        <v>13.8</v>
      </c>
      <c r="P36" s="319">
        <v>1</v>
      </c>
      <c r="Q36" s="320"/>
      <c r="R36" s="321">
        <f t="shared" si="79"/>
        <v>0</v>
      </c>
      <c r="S36" s="322">
        <f t="shared" si="11"/>
        <v>0</v>
      </c>
      <c r="T36" s="323"/>
      <c r="U36" s="324">
        <f t="shared" si="80"/>
        <v>0</v>
      </c>
      <c r="V36" s="318">
        <f t="shared" si="81"/>
        <v>13.8</v>
      </c>
      <c r="W36" s="325">
        <f t="shared" ref="W36:W39" si="87">V36/((H36*I36)/100)</f>
        <v>0.14375000000000002</v>
      </c>
      <c r="X36" s="325">
        <v>0.7</v>
      </c>
      <c r="Y36" s="325">
        <f t="shared" ref="Y36:Y39" si="88">V36+X36</f>
        <v>14.5</v>
      </c>
      <c r="Z36" s="326">
        <f>Z4</f>
        <v>4000</v>
      </c>
      <c r="AA36" s="326">
        <f t="shared" ref="AA36:AA39" si="89">Y36*Z36</f>
        <v>58000</v>
      </c>
      <c r="AB36" s="326"/>
      <c r="AC36" s="326">
        <v>3000</v>
      </c>
      <c r="AD36" s="326">
        <f t="shared" ref="AD36:AD37" si="90">AC36-(AA36/I36)</f>
        <v>583.33333333333348</v>
      </c>
      <c r="AE36" s="326">
        <f t="shared" ref="AE36:AE39" si="91">AC36*I36</f>
        <v>72000</v>
      </c>
      <c r="AF36" s="363">
        <f t="shared" ref="AF36:AF39" si="92">AE36-AA36</f>
        <v>14000</v>
      </c>
      <c r="AG36" s="409"/>
    </row>
    <row r="37" spans="2:33" ht="17.7" customHeight="1" x14ac:dyDescent="0.3">
      <c r="B37" s="238" t="s">
        <v>67</v>
      </c>
      <c r="C37" s="238" t="s">
        <v>80</v>
      </c>
      <c r="D37" s="313" t="s">
        <v>43</v>
      </c>
      <c r="E37" s="313" t="s">
        <v>69</v>
      </c>
      <c r="F37" s="313" t="s">
        <v>71</v>
      </c>
      <c r="G37" s="314" t="s">
        <v>38</v>
      </c>
      <c r="H37" s="315">
        <v>220</v>
      </c>
      <c r="I37" s="313">
        <v>42</v>
      </c>
      <c r="J37" s="316">
        <f t="shared" si="78"/>
        <v>9.24</v>
      </c>
      <c r="K37" s="317"/>
      <c r="L37" s="317"/>
      <c r="M37" s="317"/>
      <c r="N37" s="317"/>
      <c r="O37" s="318">
        <v>13.8</v>
      </c>
      <c r="P37" s="319">
        <v>1</v>
      </c>
      <c r="Q37" s="320"/>
      <c r="R37" s="321">
        <f t="shared" si="79"/>
        <v>0</v>
      </c>
      <c r="S37" s="322">
        <f t="shared" si="11"/>
        <v>0</v>
      </c>
      <c r="T37" s="323"/>
      <c r="U37" s="324">
        <f t="shared" si="80"/>
        <v>0</v>
      </c>
      <c r="V37" s="318">
        <f t="shared" si="81"/>
        <v>13.8</v>
      </c>
      <c r="W37" s="325">
        <f t="shared" si="87"/>
        <v>0.14935064935064934</v>
      </c>
      <c r="X37" s="325">
        <v>0.7</v>
      </c>
      <c r="Y37" s="325">
        <f t="shared" si="88"/>
        <v>14.5</v>
      </c>
      <c r="Z37" s="326">
        <f>Z4</f>
        <v>4000</v>
      </c>
      <c r="AA37" s="326">
        <f t="shared" si="89"/>
        <v>58000</v>
      </c>
      <c r="AB37" s="326"/>
      <c r="AC37" s="326">
        <v>2000</v>
      </c>
      <c r="AD37" s="326">
        <f t="shared" si="90"/>
        <v>619.04761904761904</v>
      </c>
      <c r="AE37" s="326">
        <f t="shared" si="91"/>
        <v>84000</v>
      </c>
      <c r="AF37" s="363">
        <f t="shared" si="92"/>
        <v>26000</v>
      </c>
      <c r="AG37" s="409"/>
    </row>
    <row r="38" spans="2:33" ht="17.7" customHeight="1" x14ac:dyDescent="0.3">
      <c r="B38" s="238" t="s">
        <v>67</v>
      </c>
      <c r="C38" s="238" t="s">
        <v>80</v>
      </c>
      <c r="D38" s="313" t="s">
        <v>43</v>
      </c>
      <c r="E38" s="313" t="s">
        <v>73</v>
      </c>
      <c r="F38" s="313" t="s">
        <v>76</v>
      </c>
      <c r="G38" s="314" t="s">
        <v>38</v>
      </c>
      <c r="H38" s="315">
        <v>1000</v>
      </c>
      <c r="I38" s="313">
        <v>12</v>
      </c>
      <c r="J38" s="316">
        <f t="shared" si="78"/>
        <v>12</v>
      </c>
      <c r="K38" s="317"/>
      <c r="L38" s="317"/>
      <c r="M38" s="317"/>
      <c r="N38" s="317"/>
      <c r="O38" s="318">
        <f t="shared" si="36"/>
        <v>0</v>
      </c>
      <c r="P38" s="319">
        <v>1</v>
      </c>
      <c r="Q38" s="320"/>
      <c r="R38" s="321">
        <f t="shared" si="79"/>
        <v>0</v>
      </c>
      <c r="S38" s="322">
        <f t="shared" si="11"/>
        <v>0</v>
      </c>
      <c r="T38" s="323"/>
      <c r="U38" s="324">
        <f t="shared" si="80"/>
        <v>0</v>
      </c>
      <c r="V38" s="318">
        <f t="shared" si="81"/>
        <v>0</v>
      </c>
      <c r="W38" s="325">
        <f t="shared" si="87"/>
        <v>0</v>
      </c>
      <c r="X38" s="325"/>
      <c r="Y38" s="325">
        <f t="shared" si="88"/>
        <v>0</v>
      </c>
      <c r="Z38" s="326">
        <f>Z4</f>
        <v>4000</v>
      </c>
      <c r="AA38" s="326">
        <f t="shared" si="89"/>
        <v>0</v>
      </c>
      <c r="AB38" s="326"/>
      <c r="AC38" s="326">
        <v>15000</v>
      </c>
      <c r="AD38" s="326"/>
      <c r="AE38" s="326"/>
      <c r="AF38" s="363"/>
      <c r="AG38" s="409"/>
    </row>
    <row r="39" spans="2:33" ht="17.7" customHeight="1" x14ac:dyDescent="0.3">
      <c r="B39" s="312" t="s">
        <v>67</v>
      </c>
      <c r="C39" s="238" t="s">
        <v>80</v>
      </c>
      <c r="D39" s="313" t="s">
        <v>43</v>
      </c>
      <c r="E39" s="313" t="s">
        <v>72</v>
      </c>
      <c r="F39" s="313" t="s">
        <v>76</v>
      </c>
      <c r="G39" s="314" t="s">
        <v>38</v>
      </c>
      <c r="H39" s="315">
        <v>250</v>
      </c>
      <c r="I39" s="313">
        <v>48</v>
      </c>
      <c r="J39" s="316">
        <f t="shared" si="78"/>
        <v>12</v>
      </c>
      <c r="K39" s="317"/>
      <c r="L39" s="317"/>
      <c r="M39" s="317"/>
      <c r="N39" s="317"/>
      <c r="O39" s="318">
        <f t="shared" si="36"/>
        <v>0</v>
      </c>
      <c r="P39" s="319">
        <v>1</v>
      </c>
      <c r="Q39" s="320"/>
      <c r="R39" s="321">
        <f t="shared" si="79"/>
        <v>0</v>
      </c>
      <c r="S39" s="322">
        <f t="shared" si="11"/>
        <v>0</v>
      </c>
      <c r="T39" s="323"/>
      <c r="U39" s="324">
        <f t="shared" si="80"/>
        <v>0</v>
      </c>
      <c r="V39" s="318">
        <f t="shared" si="81"/>
        <v>0</v>
      </c>
      <c r="W39" s="325">
        <f t="shared" si="87"/>
        <v>0</v>
      </c>
      <c r="X39" s="325"/>
      <c r="Y39" s="325">
        <f t="shared" si="88"/>
        <v>0</v>
      </c>
      <c r="Z39" s="326">
        <f>Z4</f>
        <v>4000</v>
      </c>
      <c r="AA39" s="326">
        <f t="shared" si="89"/>
        <v>0</v>
      </c>
      <c r="AB39" s="326"/>
      <c r="AC39" s="326"/>
      <c r="AD39" s="326"/>
      <c r="AE39" s="326">
        <f t="shared" si="91"/>
        <v>0</v>
      </c>
      <c r="AF39" s="363">
        <f t="shared" si="92"/>
        <v>0</v>
      </c>
      <c r="AG39" s="409"/>
    </row>
  </sheetData>
  <autoFilter ref="A5:AG39" xr:uid="{15054553-2E87-417C-9E34-7B126F950670}"/>
  <phoneticPr fontId="11" type="noConversion"/>
  <pageMargins left="0.7" right="0.7" top="0.75" bottom="0.75" header="0.3" footer="0.3"/>
  <ignoredErrors>
    <ignoredError sqref="Z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2856-6862-42D4-97F7-88C4182BA2C0}">
  <sheetPr>
    <tabColor rgb="FFD60093"/>
  </sheetPr>
  <dimension ref="A1:AG42"/>
  <sheetViews>
    <sheetView tabSelected="1" topLeftCell="D1" zoomScale="90" zoomScaleNormal="90" workbookViewId="0">
      <selection activeCell="I31" sqref="I31"/>
    </sheetView>
  </sheetViews>
  <sheetFormatPr defaultColWidth="9.21875" defaultRowHeight="15" customHeight="1" x14ac:dyDescent="0.3"/>
  <cols>
    <col min="1" max="1" width="1.44140625" style="1" customWidth="1"/>
    <col min="2" max="2" width="7.88671875" style="4" bestFit="1" customWidth="1"/>
    <col min="3" max="3" width="7.88671875" style="4" customWidth="1"/>
    <col min="4" max="4" width="9.109375" style="4" customWidth="1"/>
    <col min="5" max="5" width="8.5546875" style="4" customWidth="1"/>
    <col min="6" max="6" width="11.5546875" style="4" customWidth="1"/>
    <col min="7" max="10" width="9.88671875" style="4" customWidth="1"/>
    <col min="11" max="11" width="9.88671875" style="5" hidden="1" customWidth="1"/>
    <col min="12" max="12" width="6.77734375" style="5" hidden="1" customWidth="1"/>
    <col min="13" max="13" width="7.77734375" style="5" hidden="1" customWidth="1"/>
    <col min="14" max="14" width="1.109375" style="5" hidden="1" customWidth="1"/>
    <col min="15" max="15" width="7.5546875" style="5" customWidth="1"/>
    <col min="16" max="16" width="6.6640625" style="4" bestFit="1" customWidth="1"/>
    <col min="17" max="17" width="4.21875" style="6" customWidth="1"/>
    <col min="18" max="18" width="6.88671875" style="7" customWidth="1"/>
    <col min="19" max="19" width="8.44140625" style="8" customWidth="1"/>
    <col min="20" max="20" width="7.88671875" style="8" customWidth="1"/>
    <col min="21" max="21" width="7.77734375" style="8" customWidth="1"/>
    <col min="22" max="22" width="7.6640625" style="5" customWidth="1"/>
    <col min="23" max="23" width="6.44140625" style="5" customWidth="1"/>
    <col min="24" max="24" width="7.21875" style="9" customWidth="1"/>
    <col min="25" max="25" width="7.5546875" style="9" customWidth="1"/>
    <col min="26" max="26" width="10.5546875" style="9" customWidth="1"/>
    <col min="27" max="27" width="9.44140625" style="9" customWidth="1"/>
    <col min="28" max="28" width="1.21875" style="9" customWidth="1"/>
    <col min="29" max="29" width="9.77734375" style="10" customWidth="1"/>
    <col min="30" max="30" width="9.109375" style="10" customWidth="1"/>
    <col min="31" max="32" width="13.21875" style="10" customWidth="1"/>
    <col min="33" max="33" width="37.5546875" style="1" customWidth="1"/>
    <col min="34" max="16384" width="9.21875" style="1"/>
  </cols>
  <sheetData>
    <row r="1" spans="1:33" ht="6.75" customHeight="1" x14ac:dyDescent="0.3"/>
    <row r="2" spans="1:33" s="2" customFormat="1" ht="20.7" customHeight="1" x14ac:dyDescent="0.3">
      <c r="B2" s="3"/>
      <c r="C2" s="3"/>
      <c r="D2" s="4"/>
      <c r="E2" s="4"/>
      <c r="F2" s="17" t="s">
        <v>39</v>
      </c>
      <c r="G2" s="18"/>
      <c r="H2" s="18"/>
      <c r="I2" s="4"/>
      <c r="J2" s="4"/>
      <c r="K2" s="11"/>
      <c r="L2" s="11"/>
      <c r="M2" s="11"/>
      <c r="N2" s="11"/>
      <c r="O2" s="11"/>
      <c r="P2" s="3"/>
      <c r="Q2" s="12"/>
      <c r="R2" s="13"/>
      <c r="S2" s="14"/>
      <c r="T2" s="14"/>
      <c r="U2" s="14"/>
      <c r="V2" s="11"/>
      <c r="W2" s="11"/>
      <c r="X2" s="15"/>
      <c r="Y2" s="15"/>
      <c r="Z2" s="15"/>
      <c r="AA2" s="15"/>
      <c r="AB2" s="15"/>
      <c r="AC2" s="16"/>
      <c r="AD2" s="16"/>
      <c r="AE2" s="16"/>
      <c r="AF2" s="16"/>
    </row>
    <row r="3" spans="1:33" ht="12.75" customHeight="1" x14ac:dyDescent="0.3">
      <c r="D3" s="4" t="s">
        <v>0</v>
      </c>
    </row>
    <row r="4" spans="1:33" s="43" customFormat="1" ht="14.7" customHeight="1" x14ac:dyDescent="0.3">
      <c r="B4" s="25" t="s">
        <v>13</v>
      </c>
      <c r="C4" s="26"/>
      <c r="D4" s="26"/>
      <c r="E4" s="26"/>
      <c r="F4" s="27"/>
      <c r="G4" s="27"/>
      <c r="H4" s="27"/>
      <c r="I4" s="27"/>
      <c r="J4" s="27"/>
      <c r="K4" s="28" t="s">
        <v>11</v>
      </c>
      <c r="L4" s="29"/>
      <c r="M4" s="29"/>
      <c r="N4" s="29"/>
      <c r="O4" s="30" t="s">
        <v>35</v>
      </c>
      <c r="P4" s="31"/>
      <c r="Q4" s="32"/>
      <c r="R4" s="33"/>
      <c r="S4" s="34"/>
      <c r="T4" s="34"/>
      <c r="U4" s="34"/>
      <c r="V4" s="34"/>
      <c r="W4" s="34"/>
      <c r="X4" s="49" t="s">
        <v>36</v>
      </c>
      <c r="Y4" s="45"/>
      <c r="Z4" s="46">
        <v>4000</v>
      </c>
      <c r="AA4" s="47"/>
      <c r="AB4" s="48"/>
      <c r="AC4" s="35" t="s">
        <v>1</v>
      </c>
      <c r="AD4" s="36"/>
      <c r="AE4" s="36"/>
      <c r="AF4" s="37"/>
      <c r="AG4" s="352"/>
    </row>
    <row r="5" spans="1:33" s="44" customFormat="1" ht="27.45" customHeight="1" x14ac:dyDescent="0.3">
      <c r="A5" s="43"/>
      <c r="B5" s="38" t="s">
        <v>78</v>
      </c>
      <c r="C5" s="38" t="s">
        <v>79</v>
      </c>
      <c r="D5" s="38" t="s">
        <v>2</v>
      </c>
      <c r="E5" s="38" t="s">
        <v>12</v>
      </c>
      <c r="F5" s="38" t="s">
        <v>9</v>
      </c>
      <c r="G5" s="38" t="s">
        <v>21</v>
      </c>
      <c r="H5" s="38" t="s">
        <v>22</v>
      </c>
      <c r="I5" s="38" t="s">
        <v>25</v>
      </c>
      <c r="J5" s="38" t="s">
        <v>37</v>
      </c>
      <c r="K5" s="39" t="s">
        <v>26</v>
      </c>
      <c r="L5" s="39" t="s">
        <v>3</v>
      </c>
      <c r="M5" s="19" t="s">
        <v>28</v>
      </c>
      <c r="N5" s="40"/>
      <c r="O5" s="20" t="s">
        <v>27</v>
      </c>
      <c r="P5" s="21" t="s">
        <v>4</v>
      </c>
      <c r="Q5" s="22" t="s">
        <v>5</v>
      </c>
      <c r="R5" s="23" t="s">
        <v>6</v>
      </c>
      <c r="S5" s="24" t="s">
        <v>7</v>
      </c>
      <c r="T5" s="50" t="s">
        <v>40</v>
      </c>
      <c r="U5" s="50" t="s">
        <v>41</v>
      </c>
      <c r="V5" s="24" t="s">
        <v>34</v>
      </c>
      <c r="W5" s="24" t="s">
        <v>33</v>
      </c>
      <c r="X5" s="42" t="s">
        <v>29</v>
      </c>
      <c r="Y5" s="42" t="s">
        <v>30</v>
      </c>
      <c r="Z5" s="42" t="s">
        <v>8</v>
      </c>
      <c r="AA5" s="42" t="s">
        <v>31</v>
      </c>
      <c r="AB5" s="42"/>
      <c r="AC5" s="41" t="s">
        <v>14</v>
      </c>
      <c r="AD5" s="41" t="s">
        <v>16</v>
      </c>
      <c r="AE5" s="41" t="s">
        <v>15</v>
      </c>
      <c r="AF5" s="41" t="s">
        <v>17</v>
      </c>
      <c r="AG5" s="353" t="s">
        <v>10</v>
      </c>
    </row>
    <row r="6" spans="1:33" ht="18" hidden="1" customHeight="1" x14ac:dyDescent="0.25">
      <c r="B6" s="99" t="s">
        <v>68</v>
      </c>
      <c r="C6" s="99"/>
      <c r="D6" s="75" t="s">
        <v>18</v>
      </c>
      <c r="E6" s="75" t="s">
        <v>19</v>
      </c>
      <c r="F6" s="76" t="s">
        <v>20</v>
      </c>
      <c r="G6" s="76" t="s">
        <v>23</v>
      </c>
      <c r="H6" s="100">
        <v>110</v>
      </c>
      <c r="I6" s="76">
        <v>72</v>
      </c>
      <c r="J6" s="327">
        <f>(H6*I6)/1000</f>
        <v>7.92</v>
      </c>
      <c r="K6" s="82">
        <v>12.7</v>
      </c>
      <c r="L6" s="82">
        <v>0.8</v>
      </c>
      <c r="M6" s="80">
        <f>K6+L6</f>
        <v>13.5</v>
      </c>
      <c r="N6" s="83"/>
      <c r="O6" s="77">
        <f>M6</f>
        <v>13.5</v>
      </c>
      <c r="P6" s="101">
        <v>1</v>
      </c>
      <c r="Q6" s="78"/>
      <c r="R6" s="79">
        <f t="shared" ref="R6" si="0">Q6/(P6+Q6)</f>
        <v>0</v>
      </c>
      <c r="S6" s="80">
        <f t="shared" ref="S6:S15" si="1">R6*O6</f>
        <v>0</v>
      </c>
      <c r="T6" s="81"/>
      <c r="U6" s="82">
        <f>T6*O6</f>
        <v>0</v>
      </c>
      <c r="V6" s="83">
        <f>O6-(S6+U6)</f>
        <v>13.5</v>
      </c>
      <c r="W6" s="84">
        <f t="shared" ref="W6:W14" si="2">V6/((H6*I6)/100)</f>
        <v>0.17045454545454544</v>
      </c>
      <c r="X6" s="84">
        <v>0.5</v>
      </c>
      <c r="Y6" s="84">
        <f t="shared" ref="Y6:Y14" si="3">V6+X6</f>
        <v>14</v>
      </c>
      <c r="Z6" s="85">
        <f>Z4</f>
        <v>4000</v>
      </c>
      <c r="AA6" s="85">
        <f>Y6*Z6</f>
        <v>56000</v>
      </c>
      <c r="AB6" s="85"/>
      <c r="AC6" s="85">
        <v>1000</v>
      </c>
      <c r="AD6" s="85">
        <f>AC6-(AA6/I6)</f>
        <v>222.22222222222217</v>
      </c>
      <c r="AE6" s="85">
        <f>AC6*I6</f>
        <v>72000</v>
      </c>
      <c r="AF6" s="372">
        <f>AE6-AA6</f>
        <v>16000</v>
      </c>
      <c r="AG6" s="382"/>
    </row>
    <row r="7" spans="1:33" ht="18" hidden="1" customHeight="1" x14ac:dyDescent="0.25">
      <c r="B7" s="99" t="s">
        <v>68</v>
      </c>
      <c r="C7" s="99"/>
      <c r="D7" s="75" t="s">
        <v>18</v>
      </c>
      <c r="E7" s="75" t="s">
        <v>19</v>
      </c>
      <c r="F7" s="76" t="s">
        <v>20</v>
      </c>
      <c r="G7" s="76" t="s">
        <v>23</v>
      </c>
      <c r="H7" s="100">
        <v>130</v>
      </c>
      <c r="I7" s="76">
        <v>72</v>
      </c>
      <c r="J7" s="327">
        <f t="shared" ref="J7:J42" si="4">(H7*I7)/1000</f>
        <v>9.36</v>
      </c>
      <c r="K7" s="82">
        <v>13</v>
      </c>
      <c r="L7" s="82">
        <v>0.5</v>
      </c>
      <c r="M7" s="80">
        <f t="shared" ref="M7:M14" si="5">K7+L7</f>
        <v>13.5</v>
      </c>
      <c r="N7" s="83"/>
      <c r="O7" s="77">
        <f t="shared" ref="O7:O14" si="6">M7</f>
        <v>13.5</v>
      </c>
      <c r="P7" s="101">
        <v>1</v>
      </c>
      <c r="Q7" s="78"/>
      <c r="R7" s="79">
        <f t="shared" ref="R7" si="7">Q7/(P7+Q7)</f>
        <v>0</v>
      </c>
      <c r="S7" s="80">
        <f t="shared" si="1"/>
        <v>0</v>
      </c>
      <c r="T7" s="81"/>
      <c r="U7" s="82">
        <f t="shared" ref="U7:U14" si="8">T7*O7</f>
        <v>0</v>
      </c>
      <c r="V7" s="83">
        <f t="shared" ref="V7:V14" si="9">O7-(S7+U7)</f>
        <v>13.5</v>
      </c>
      <c r="W7" s="84">
        <f t="shared" si="2"/>
        <v>0.14423076923076925</v>
      </c>
      <c r="X7" s="84">
        <v>0.5</v>
      </c>
      <c r="Y7" s="84">
        <f t="shared" si="3"/>
        <v>14</v>
      </c>
      <c r="Z7" s="85">
        <f>Z4</f>
        <v>4000</v>
      </c>
      <c r="AA7" s="85">
        <f t="shared" ref="AA7:AA11" si="10">Y7*Z7</f>
        <v>56000</v>
      </c>
      <c r="AB7" s="85"/>
      <c r="AC7" s="85">
        <v>1000</v>
      </c>
      <c r="AD7" s="85">
        <f>AC7-(AA7/I7)</f>
        <v>222.22222222222217</v>
      </c>
      <c r="AE7" s="85">
        <f t="shared" ref="AE7:AE14" si="11">AC7*I7</f>
        <v>72000</v>
      </c>
      <c r="AF7" s="372">
        <f t="shared" ref="AF7:AF14" si="12">AE7-AA7</f>
        <v>16000</v>
      </c>
      <c r="AG7" s="382"/>
    </row>
    <row r="8" spans="1:33" ht="18" hidden="1" customHeight="1" x14ac:dyDescent="0.25">
      <c r="B8" s="99" t="s">
        <v>68</v>
      </c>
      <c r="C8" s="99"/>
      <c r="D8" s="75" t="s">
        <v>18</v>
      </c>
      <c r="E8" s="75" t="s">
        <v>19</v>
      </c>
      <c r="F8" s="76" t="s">
        <v>20</v>
      </c>
      <c r="G8" s="76" t="s">
        <v>23</v>
      </c>
      <c r="H8" s="100">
        <v>350</v>
      </c>
      <c r="I8" s="76">
        <v>36</v>
      </c>
      <c r="J8" s="327">
        <f t="shared" si="4"/>
        <v>12.6</v>
      </c>
      <c r="K8" s="82">
        <v>18.8</v>
      </c>
      <c r="L8" s="82">
        <v>0.5</v>
      </c>
      <c r="M8" s="80">
        <f t="shared" si="5"/>
        <v>19.3</v>
      </c>
      <c r="N8" s="83"/>
      <c r="O8" s="77">
        <f t="shared" si="6"/>
        <v>19.3</v>
      </c>
      <c r="P8" s="101">
        <v>1</v>
      </c>
      <c r="Q8" s="78"/>
      <c r="R8" s="79">
        <f t="shared" ref="R8" si="13">Q8/(P8+Q8)</f>
        <v>0</v>
      </c>
      <c r="S8" s="80">
        <f t="shared" si="1"/>
        <v>0</v>
      </c>
      <c r="T8" s="81"/>
      <c r="U8" s="82">
        <f t="shared" si="8"/>
        <v>0</v>
      </c>
      <c r="V8" s="83">
        <f t="shared" si="9"/>
        <v>19.3</v>
      </c>
      <c r="W8" s="84">
        <f t="shared" si="2"/>
        <v>0.15317460317460319</v>
      </c>
      <c r="X8" s="84">
        <v>0.5</v>
      </c>
      <c r="Y8" s="84">
        <f t="shared" si="3"/>
        <v>19.8</v>
      </c>
      <c r="Z8" s="85">
        <f t="shared" ref="Z8:Z14" si="14">Z6</f>
        <v>4000</v>
      </c>
      <c r="AA8" s="85">
        <f t="shared" si="10"/>
        <v>79200</v>
      </c>
      <c r="AB8" s="85"/>
      <c r="AC8" s="85">
        <v>3000</v>
      </c>
      <c r="AD8" s="85">
        <f t="shared" ref="AD8:AD42" si="15">AC8-(AA8/I8)</f>
        <v>800</v>
      </c>
      <c r="AE8" s="85">
        <f t="shared" si="11"/>
        <v>108000</v>
      </c>
      <c r="AF8" s="372">
        <f t="shared" si="12"/>
        <v>28800</v>
      </c>
      <c r="AG8" s="382"/>
    </row>
    <row r="9" spans="1:33" ht="18" hidden="1" customHeight="1" x14ac:dyDescent="0.25">
      <c r="B9" s="99" t="s">
        <v>68</v>
      </c>
      <c r="C9" s="99"/>
      <c r="D9" s="75" t="s">
        <v>18</v>
      </c>
      <c r="E9" s="75" t="s">
        <v>19</v>
      </c>
      <c r="F9" s="76" t="s">
        <v>20</v>
      </c>
      <c r="G9" s="76" t="s">
        <v>23</v>
      </c>
      <c r="H9" s="100">
        <v>400</v>
      </c>
      <c r="I9" s="76">
        <v>30</v>
      </c>
      <c r="J9" s="327">
        <f t="shared" si="4"/>
        <v>12</v>
      </c>
      <c r="K9" s="82">
        <v>16</v>
      </c>
      <c r="L9" s="82">
        <v>0.5</v>
      </c>
      <c r="M9" s="80">
        <f t="shared" si="5"/>
        <v>16.5</v>
      </c>
      <c r="N9" s="83"/>
      <c r="O9" s="77">
        <f t="shared" si="6"/>
        <v>16.5</v>
      </c>
      <c r="P9" s="101">
        <v>1</v>
      </c>
      <c r="Q9" s="78"/>
      <c r="R9" s="79">
        <f t="shared" ref="R9:R10" si="16">Q9/(P9+Q9)</f>
        <v>0</v>
      </c>
      <c r="S9" s="80">
        <f t="shared" si="1"/>
        <v>0</v>
      </c>
      <c r="T9" s="81"/>
      <c r="U9" s="82">
        <f t="shared" si="8"/>
        <v>0</v>
      </c>
      <c r="V9" s="83">
        <f t="shared" si="9"/>
        <v>16.5</v>
      </c>
      <c r="W9" s="84">
        <f t="shared" si="2"/>
        <v>0.13750000000000001</v>
      </c>
      <c r="X9" s="84">
        <v>0.5</v>
      </c>
      <c r="Y9" s="84">
        <f t="shared" si="3"/>
        <v>17</v>
      </c>
      <c r="Z9" s="85">
        <f t="shared" si="14"/>
        <v>4000</v>
      </c>
      <c r="AA9" s="85">
        <f t="shared" si="10"/>
        <v>68000</v>
      </c>
      <c r="AB9" s="85"/>
      <c r="AC9" s="85">
        <v>3000</v>
      </c>
      <c r="AD9" s="85">
        <f t="shared" si="15"/>
        <v>733.33333333333348</v>
      </c>
      <c r="AE9" s="85">
        <f t="shared" si="11"/>
        <v>90000</v>
      </c>
      <c r="AF9" s="372">
        <f t="shared" si="12"/>
        <v>22000</v>
      </c>
      <c r="AG9" s="382"/>
    </row>
    <row r="10" spans="1:33" ht="18" hidden="1" customHeight="1" x14ac:dyDescent="0.25">
      <c r="B10" s="99" t="s">
        <v>68</v>
      </c>
      <c r="C10" s="99"/>
      <c r="D10" s="75" t="s">
        <v>18</v>
      </c>
      <c r="E10" s="75" t="s">
        <v>19</v>
      </c>
      <c r="F10" s="76" t="s">
        <v>20</v>
      </c>
      <c r="G10" s="76" t="s">
        <v>23</v>
      </c>
      <c r="H10" s="100">
        <v>750</v>
      </c>
      <c r="I10" s="76">
        <v>12</v>
      </c>
      <c r="J10" s="327">
        <f t="shared" si="4"/>
        <v>9</v>
      </c>
      <c r="K10" s="82">
        <v>14</v>
      </c>
      <c r="L10" s="82">
        <v>0.5</v>
      </c>
      <c r="M10" s="80">
        <f t="shared" si="5"/>
        <v>14.5</v>
      </c>
      <c r="N10" s="83"/>
      <c r="O10" s="77">
        <f t="shared" si="6"/>
        <v>14.5</v>
      </c>
      <c r="P10" s="101">
        <v>1</v>
      </c>
      <c r="Q10" s="78"/>
      <c r="R10" s="79">
        <f t="shared" si="16"/>
        <v>0</v>
      </c>
      <c r="S10" s="80">
        <f t="shared" si="1"/>
        <v>0</v>
      </c>
      <c r="T10" s="81"/>
      <c r="U10" s="82">
        <f t="shared" si="8"/>
        <v>0</v>
      </c>
      <c r="V10" s="83">
        <f t="shared" si="9"/>
        <v>14.5</v>
      </c>
      <c r="W10" s="84">
        <f t="shared" si="2"/>
        <v>0.16111111111111112</v>
      </c>
      <c r="X10" s="84">
        <v>0.5</v>
      </c>
      <c r="Y10" s="84">
        <f t="shared" si="3"/>
        <v>15</v>
      </c>
      <c r="Z10" s="85">
        <f t="shared" si="14"/>
        <v>4000</v>
      </c>
      <c r="AA10" s="85">
        <f t="shared" si="10"/>
        <v>60000</v>
      </c>
      <c r="AB10" s="85"/>
      <c r="AC10" s="85">
        <v>6000</v>
      </c>
      <c r="AD10" s="85">
        <f t="shared" si="15"/>
        <v>1000</v>
      </c>
      <c r="AE10" s="85">
        <f t="shared" si="11"/>
        <v>72000</v>
      </c>
      <c r="AF10" s="372">
        <f t="shared" si="12"/>
        <v>12000</v>
      </c>
      <c r="AG10" s="382"/>
    </row>
    <row r="11" spans="1:33" ht="18" hidden="1" customHeight="1" x14ac:dyDescent="0.25">
      <c r="B11" s="99" t="s">
        <v>68</v>
      </c>
      <c r="C11" s="99"/>
      <c r="D11" s="75" t="s">
        <v>18</v>
      </c>
      <c r="E11" s="75" t="s">
        <v>19</v>
      </c>
      <c r="F11" s="76" t="s">
        <v>20</v>
      </c>
      <c r="G11" s="76" t="s">
        <v>23</v>
      </c>
      <c r="H11" s="100">
        <v>1000</v>
      </c>
      <c r="I11" s="76">
        <v>10</v>
      </c>
      <c r="J11" s="327">
        <f t="shared" si="4"/>
        <v>10</v>
      </c>
      <c r="K11" s="82">
        <v>13.6</v>
      </c>
      <c r="L11" s="82">
        <v>0.5</v>
      </c>
      <c r="M11" s="80">
        <f t="shared" si="5"/>
        <v>14.1</v>
      </c>
      <c r="N11" s="83"/>
      <c r="O11" s="77">
        <f t="shared" si="6"/>
        <v>14.1</v>
      </c>
      <c r="P11" s="101">
        <v>1</v>
      </c>
      <c r="Q11" s="78"/>
      <c r="R11" s="79">
        <f t="shared" ref="R11:R13" si="17">Q11/(P11+Q11)</f>
        <v>0</v>
      </c>
      <c r="S11" s="80">
        <f t="shared" si="1"/>
        <v>0</v>
      </c>
      <c r="T11" s="81"/>
      <c r="U11" s="82">
        <f t="shared" si="8"/>
        <v>0</v>
      </c>
      <c r="V11" s="83">
        <f t="shared" si="9"/>
        <v>14.1</v>
      </c>
      <c r="W11" s="84">
        <f t="shared" si="2"/>
        <v>0.14099999999999999</v>
      </c>
      <c r="X11" s="84">
        <v>0.3</v>
      </c>
      <c r="Y11" s="84">
        <f t="shared" si="3"/>
        <v>14.4</v>
      </c>
      <c r="Z11" s="85">
        <f t="shared" si="14"/>
        <v>4000</v>
      </c>
      <c r="AA11" s="85">
        <f t="shared" si="10"/>
        <v>57600</v>
      </c>
      <c r="AB11" s="85"/>
      <c r="AC11" s="85">
        <v>6500</v>
      </c>
      <c r="AD11" s="85">
        <f t="shared" si="15"/>
        <v>740</v>
      </c>
      <c r="AE11" s="85">
        <f t="shared" si="11"/>
        <v>65000</v>
      </c>
      <c r="AF11" s="372">
        <f t="shared" si="12"/>
        <v>7400</v>
      </c>
      <c r="AG11" s="382"/>
    </row>
    <row r="12" spans="1:33" ht="18" hidden="1" customHeight="1" x14ac:dyDescent="0.25">
      <c r="B12" s="99" t="s">
        <v>68</v>
      </c>
      <c r="C12" s="99"/>
      <c r="D12" s="75" t="s">
        <v>18</v>
      </c>
      <c r="E12" s="75" t="s">
        <v>19</v>
      </c>
      <c r="F12" s="76" t="s">
        <v>20</v>
      </c>
      <c r="G12" s="76" t="s">
        <v>23</v>
      </c>
      <c r="H12" s="100">
        <v>3700</v>
      </c>
      <c r="I12" s="76">
        <v>4</v>
      </c>
      <c r="J12" s="327">
        <f t="shared" si="4"/>
        <v>14.8</v>
      </c>
      <c r="K12" s="82">
        <v>17.5</v>
      </c>
      <c r="L12" s="82">
        <v>0.5</v>
      </c>
      <c r="M12" s="80">
        <f t="shared" si="5"/>
        <v>18</v>
      </c>
      <c r="N12" s="83"/>
      <c r="O12" s="77">
        <f t="shared" si="6"/>
        <v>18</v>
      </c>
      <c r="P12" s="101">
        <v>1</v>
      </c>
      <c r="Q12" s="78"/>
      <c r="R12" s="79">
        <f t="shared" si="17"/>
        <v>0</v>
      </c>
      <c r="S12" s="80">
        <f t="shared" si="1"/>
        <v>0</v>
      </c>
      <c r="T12" s="81"/>
      <c r="U12" s="82">
        <f t="shared" si="8"/>
        <v>0</v>
      </c>
      <c r="V12" s="83">
        <f t="shared" si="9"/>
        <v>18</v>
      </c>
      <c r="W12" s="84">
        <f t="shared" si="2"/>
        <v>0.12162162162162163</v>
      </c>
      <c r="X12" s="84">
        <v>0.4</v>
      </c>
      <c r="Y12" s="84">
        <f t="shared" si="3"/>
        <v>18.399999999999999</v>
      </c>
      <c r="Z12" s="85">
        <f t="shared" si="14"/>
        <v>4000</v>
      </c>
      <c r="AA12" s="85">
        <f>Y12*Z12</f>
        <v>73600</v>
      </c>
      <c r="AB12" s="85"/>
      <c r="AC12" s="85">
        <v>21000</v>
      </c>
      <c r="AD12" s="85">
        <f t="shared" si="15"/>
        <v>2600</v>
      </c>
      <c r="AE12" s="85">
        <f t="shared" si="11"/>
        <v>84000</v>
      </c>
      <c r="AF12" s="372">
        <f t="shared" si="12"/>
        <v>10400</v>
      </c>
      <c r="AG12" s="382"/>
    </row>
    <row r="13" spans="1:33" ht="18" hidden="1" customHeight="1" x14ac:dyDescent="0.25">
      <c r="B13" s="99" t="s">
        <v>68</v>
      </c>
      <c r="C13" s="99"/>
      <c r="D13" s="75" t="s">
        <v>18</v>
      </c>
      <c r="E13" s="75" t="s">
        <v>19</v>
      </c>
      <c r="F13" s="76" t="s">
        <v>20</v>
      </c>
      <c r="G13" s="76" t="s">
        <v>23</v>
      </c>
      <c r="H13" s="100">
        <v>4000</v>
      </c>
      <c r="I13" s="76">
        <v>4</v>
      </c>
      <c r="J13" s="327">
        <f t="shared" si="4"/>
        <v>16</v>
      </c>
      <c r="K13" s="82">
        <v>18.3</v>
      </c>
      <c r="L13" s="82">
        <v>0.5</v>
      </c>
      <c r="M13" s="80">
        <f t="shared" si="5"/>
        <v>18.8</v>
      </c>
      <c r="N13" s="83"/>
      <c r="O13" s="77">
        <f t="shared" si="6"/>
        <v>18.8</v>
      </c>
      <c r="P13" s="101">
        <v>1</v>
      </c>
      <c r="Q13" s="78"/>
      <c r="R13" s="79">
        <f t="shared" si="17"/>
        <v>0</v>
      </c>
      <c r="S13" s="80">
        <f t="shared" si="1"/>
        <v>0</v>
      </c>
      <c r="T13" s="81"/>
      <c r="U13" s="82">
        <f t="shared" si="8"/>
        <v>0</v>
      </c>
      <c r="V13" s="83">
        <f t="shared" si="9"/>
        <v>18.8</v>
      </c>
      <c r="W13" s="84">
        <f t="shared" si="2"/>
        <v>0.11750000000000001</v>
      </c>
      <c r="X13" s="84">
        <v>0.4</v>
      </c>
      <c r="Y13" s="84">
        <f t="shared" si="3"/>
        <v>19.2</v>
      </c>
      <c r="Z13" s="85">
        <f t="shared" si="14"/>
        <v>4000</v>
      </c>
      <c r="AA13" s="85">
        <f>Y13*Z13</f>
        <v>76800</v>
      </c>
      <c r="AB13" s="85"/>
      <c r="AC13" s="85">
        <v>22000</v>
      </c>
      <c r="AD13" s="85">
        <f t="shared" si="15"/>
        <v>2800</v>
      </c>
      <c r="AE13" s="85">
        <f t="shared" si="11"/>
        <v>88000</v>
      </c>
      <c r="AF13" s="372">
        <f t="shared" si="12"/>
        <v>11200</v>
      </c>
      <c r="AG13" s="382"/>
    </row>
    <row r="14" spans="1:33" ht="18" hidden="1" customHeight="1" x14ac:dyDescent="0.25">
      <c r="B14" s="99" t="s">
        <v>68</v>
      </c>
      <c r="C14" s="99"/>
      <c r="D14" s="75" t="s">
        <v>18</v>
      </c>
      <c r="E14" s="75" t="s">
        <v>19</v>
      </c>
      <c r="F14" s="76" t="s">
        <v>20</v>
      </c>
      <c r="G14" s="76" t="s">
        <v>24</v>
      </c>
      <c r="H14" s="100">
        <v>4000</v>
      </c>
      <c r="I14" s="76">
        <v>4</v>
      </c>
      <c r="J14" s="327">
        <f t="shared" si="4"/>
        <v>16</v>
      </c>
      <c r="K14" s="82">
        <v>5</v>
      </c>
      <c r="L14" s="82">
        <v>0.25</v>
      </c>
      <c r="M14" s="80">
        <f t="shared" si="5"/>
        <v>5.25</v>
      </c>
      <c r="N14" s="83"/>
      <c r="O14" s="77">
        <f t="shared" si="6"/>
        <v>5.25</v>
      </c>
      <c r="P14" s="101">
        <v>1</v>
      </c>
      <c r="Q14" s="78"/>
      <c r="R14" s="79">
        <f t="shared" ref="R14:R15" si="18">Q14/(P14+Q14)</f>
        <v>0</v>
      </c>
      <c r="S14" s="80">
        <f t="shared" si="1"/>
        <v>0</v>
      </c>
      <c r="T14" s="81"/>
      <c r="U14" s="82">
        <f t="shared" si="8"/>
        <v>0</v>
      </c>
      <c r="V14" s="83">
        <f t="shared" si="9"/>
        <v>5.25</v>
      </c>
      <c r="W14" s="84">
        <f t="shared" si="2"/>
        <v>3.2812500000000001E-2</v>
      </c>
      <c r="X14" s="84">
        <v>0.1</v>
      </c>
      <c r="Y14" s="84">
        <f t="shared" si="3"/>
        <v>5.35</v>
      </c>
      <c r="Z14" s="85">
        <f t="shared" si="14"/>
        <v>4000</v>
      </c>
      <c r="AA14" s="85">
        <f>Y14*Z14</f>
        <v>21400</v>
      </c>
      <c r="AB14" s="85"/>
      <c r="AC14" s="85">
        <v>23000</v>
      </c>
      <c r="AD14" s="85">
        <f t="shared" si="15"/>
        <v>17650</v>
      </c>
      <c r="AE14" s="85">
        <f t="shared" si="11"/>
        <v>92000</v>
      </c>
      <c r="AF14" s="372">
        <f t="shared" si="12"/>
        <v>70600</v>
      </c>
      <c r="AG14" s="382"/>
    </row>
    <row r="15" spans="1:33" ht="18" customHeight="1" x14ac:dyDescent="0.25">
      <c r="B15" s="102" t="s">
        <v>67</v>
      </c>
      <c r="C15" s="102" t="s">
        <v>80</v>
      </c>
      <c r="D15" s="53" t="s">
        <v>18</v>
      </c>
      <c r="E15" s="53" t="s">
        <v>19</v>
      </c>
      <c r="F15" s="54" t="s">
        <v>58</v>
      </c>
      <c r="G15" s="54" t="s">
        <v>23</v>
      </c>
      <c r="H15" s="103">
        <v>110</v>
      </c>
      <c r="I15" s="54">
        <v>72</v>
      </c>
      <c r="J15" s="328">
        <f t="shared" si="4"/>
        <v>7.92</v>
      </c>
      <c r="K15" s="55"/>
      <c r="L15" s="55"/>
      <c r="M15" s="56"/>
      <c r="N15" s="57"/>
      <c r="O15" s="58">
        <v>15.9</v>
      </c>
      <c r="P15" s="59">
        <v>1</v>
      </c>
      <c r="Q15" s="60"/>
      <c r="R15" s="61">
        <f t="shared" si="18"/>
        <v>0</v>
      </c>
      <c r="S15" s="56">
        <f t="shared" si="1"/>
        <v>0</v>
      </c>
      <c r="T15" s="104">
        <v>0.11</v>
      </c>
      <c r="U15" s="55">
        <f t="shared" ref="U15:U42" si="19">T15*O15</f>
        <v>1.7490000000000001</v>
      </c>
      <c r="V15" s="57">
        <f t="shared" ref="V15:V42" si="20">O15-(S15+U15)</f>
        <v>14.151</v>
      </c>
      <c r="W15" s="62">
        <f t="shared" ref="W15:W42" si="21">V15/((H15*I15)/100)</f>
        <v>0.1786742424242424</v>
      </c>
      <c r="X15" s="62">
        <v>0.5</v>
      </c>
      <c r="Y15" s="62">
        <f t="shared" ref="Y15:Y42" si="22">V15+X15</f>
        <v>14.651</v>
      </c>
      <c r="Z15" s="63">
        <f>Z13</f>
        <v>4000</v>
      </c>
      <c r="AA15" s="63">
        <f>Y15*Z15</f>
        <v>58604</v>
      </c>
      <c r="AB15" s="63"/>
      <c r="AC15" s="63">
        <v>1000</v>
      </c>
      <c r="AD15" s="63">
        <f>AC15-(AA15/I15)</f>
        <v>186.05555555555554</v>
      </c>
      <c r="AE15" s="63">
        <f t="shared" ref="AE15:AE42" si="23">AC15*I15</f>
        <v>72000</v>
      </c>
      <c r="AF15" s="373">
        <f t="shared" ref="AF15:AF42" si="24">AE15-AA15</f>
        <v>13396</v>
      </c>
      <c r="AG15" s="383"/>
    </row>
    <row r="16" spans="1:33" ht="18" customHeight="1" x14ac:dyDescent="0.25">
      <c r="B16" s="102" t="s">
        <v>67</v>
      </c>
      <c r="C16" s="102" t="s">
        <v>80</v>
      </c>
      <c r="D16" s="53" t="s">
        <v>18</v>
      </c>
      <c r="E16" s="53" t="s">
        <v>19</v>
      </c>
      <c r="F16" s="54" t="s">
        <v>58</v>
      </c>
      <c r="G16" s="54" t="s">
        <v>23</v>
      </c>
      <c r="H16" s="103">
        <v>350</v>
      </c>
      <c r="I16" s="54">
        <v>36</v>
      </c>
      <c r="J16" s="328">
        <f t="shared" ref="J16" si="25">(H16*I16)/1000</f>
        <v>12.6</v>
      </c>
      <c r="K16" s="55"/>
      <c r="L16" s="55"/>
      <c r="M16" s="56"/>
      <c r="N16" s="57"/>
      <c r="O16" s="58">
        <v>25.76</v>
      </c>
      <c r="P16" s="59">
        <v>1</v>
      </c>
      <c r="Q16" s="60"/>
      <c r="R16" s="61">
        <f t="shared" ref="R16" si="26">Q16/(P16+Q16)</f>
        <v>0</v>
      </c>
      <c r="S16" s="56">
        <f t="shared" ref="S16" si="27">R16*O16</f>
        <v>0</v>
      </c>
      <c r="T16" s="104"/>
      <c r="U16" s="55">
        <f t="shared" ref="U16" si="28">T16*O16</f>
        <v>0</v>
      </c>
      <c r="V16" s="57">
        <v>23.4</v>
      </c>
      <c r="W16" s="62">
        <f t="shared" ref="W16" si="29">V16/((H16*I16)/100)</f>
        <v>0.18571428571428569</v>
      </c>
      <c r="X16" s="62">
        <v>1</v>
      </c>
      <c r="Y16" s="62">
        <f t="shared" ref="Y16" si="30">V16+X16</f>
        <v>24.4</v>
      </c>
      <c r="Z16" s="63">
        <f>Z15</f>
        <v>4000</v>
      </c>
      <c r="AA16" s="63">
        <f t="shared" ref="AA16" si="31">Y16*Z16</f>
        <v>97600</v>
      </c>
      <c r="AB16" s="63"/>
      <c r="AC16" s="63">
        <v>3500</v>
      </c>
      <c r="AD16" s="63">
        <f t="shared" ref="AD16" si="32">AC16-(AA16/I16)</f>
        <v>788.88888888888869</v>
      </c>
      <c r="AE16" s="63">
        <f t="shared" ref="AE16" si="33">AC16*I16</f>
        <v>126000</v>
      </c>
      <c r="AF16" s="373">
        <f t="shared" ref="AF16" si="34">AE16-AA16</f>
        <v>28400</v>
      </c>
      <c r="AG16" s="383"/>
    </row>
    <row r="17" spans="2:33" ht="18" customHeight="1" x14ac:dyDescent="0.25">
      <c r="B17" s="102" t="s">
        <v>67</v>
      </c>
      <c r="C17" s="102" t="s">
        <v>80</v>
      </c>
      <c r="D17" s="53" t="s">
        <v>18</v>
      </c>
      <c r="E17" s="53" t="s">
        <v>19</v>
      </c>
      <c r="F17" s="54" t="s">
        <v>58</v>
      </c>
      <c r="G17" s="54" t="s">
        <v>23</v>
      </c>
      <c r="H17" s="103">
        <v>750</v>
      </c>
      <c r="I17" s="54">
        <v>12</v>
      </c>
      <c r="J17" s="328">
        <f t="shared" ref="J17" si="35">(H17*I17)/1000</f>
        <v>9</v>
      </c>
      <c r="K17" s="55"/>
      <c r="L17" s="55"/>
      <c r="M17" s="56"/>
      <c r="N17" s="57"/>
      <c r="O17" s="58">
        <v>17.11</v>
      </c>
      <c r="P17" s="59">
        <v>1</v>
      </c>
      <c r="Q17" s="60"/>
      <c r="R17" s="61">
        <f t="shared" ref="R17" si="36">Q17/(P17+Q17)</f>
        <v>0</v>
      </c>
      <c r="S17" s="56">
        <f t="shared" ref="S17" si="37">R17*O17</f>
        <v>0</v>
      </c>
      <c r="T17" s="104"/>
      <c r="U17" s="55">
        <f t="shared" ref="U17" si="38">T17*O17</f>
        <v>0</v>
      </c>
      <c r="V17" s="57">
        <v>15.8</v>
      </c>
      <c r="W17" s="62">
        <f t="shared" ref="W17" si="39">V17/((H17*I17)/100)</f>
        <v>0.17555555555555558</v>
      </c>
      <c r="X17" s="62">
        <v>1</v>
      </c>
      <c r="Y17" s="62">
        <f t="shared" ref="Y17" si="40">V17+X17</f>
        <v>16.8</v>
      </c>
      <c r="Z17" s="63">
        <f t="shared" ref="Z17:Z42" si="41">Z16</f>
        <v>4000</v>
      </c>
      <c r="AA17" s="63">
        <f t="shared" ref="AA17" si="42">Y17*Z17</f>
        <v>67200</v>
      </c>
      <c r="AB17" s="63"/>
      <c r="AC17" s="63">
        <v>6500</v>
      </c>
      <c r="AD17" s="63">
        <f t="shared" ref="AD17" si="43">AC17-(AA17/I17)</f>
        <v>900</v>
      </c>
      <c r="AE17" s="63">
        <f t="shared" ref="AE17" si="44">AC17*I17</f>
        <v>78000</v>
      </c>
      <c r="AF17" s="373">
        <f t="shared" ref="AF17" si="45">AE17-AA17</f>
        <v>10800</v>
      </c>
      <c r="AG17" s="383"/>
    </row>
    <row r="18" spans="2:33" ht="18" customHeight="1" x14ac:dyDescent="0.25">
      <c r="B18" s="102" t="s">
        <v>67</v>
      </c>
      <c r="C18" s="102" t="s">
        <v>80</v>
      </c>
      <c r="D18" s="53" t="s">
        <v>18</v>
      </c>
      <c r="E18" s="53" t="s">
        <v>19</v>
      </c>
      <c r="F18" s="54" t="s">
        <v>58</v>
      </c>
      <c r="G18" s="54" t="s">
        <v>23</v>
      </c>
      <c r="H18" s="103">
        <v>3700</v>
      </c>
      <c r="I18" s="54">
        <v>4</v>
      </c>
      <c r="J18" s="328">
        <f t="shared" ref="J18" si="46">(H18*I18)/1000</f>
        <v>14.8</v>
      </c>
      <c r="K18" s="55"/>
      <c r="L18" s="55"/>
      <c r="M18" s="56"/>
      <c r="N18" s="57"/>
      <c r="O18" s="58">
        <v>21.68</v>
      </c>
      <c r="P18" s="59">
        <v>1</v>
      </c>
      <c r="Q18" s="60"/>
      <c r="R18" s="61">
        <f t="shared" ref="R18" si="47">Q18/(P18+Q18)</f>
        <v>0</v>
      </c>
      <c r="S18" s="56">
        <f t="shared" ref="S18" si="48">R18*O18</f>
        <v>0</v>
      </c>
      <c r="T18" s="104">
        <v>0.12</v>
      </c>
      <c r="U18" s="55">
        <f t="shared" ref="U18" si="49">T18*O18</f>
        <v>2.6015999999999999</v>
      </c>
      <c r="V18" s="57">
        <v>18.8</v>
      </c>
      <c r="W18" s="62">
        <f t="shared" ref="W18" si="50">V18/((H18*I18)/100)</f>
        <v>0.12702702702702703</v>
      </c>
      <c r="X18" s="62">
        <v>1</v>
      </c>
      <c r="Y18" s="62">
        <f t="shared" ref="Y18" si="51">V18+X18</f>
        <v>19.8</v>
      </c>
      <c r="Z18" s="63">
        <f t="shared" si="41"/>
        <v>4000</v>
      </c>
      <c r="AA18" s="63">
        <f t="shared" ref="AA18" si="52">Y18*Z18</f>
        <v>79200</v>
      </c>
      <c r="AB18" s="63"/>
      <c r="AC18" s="63">
        <v>22000</v>
      </c>
      <c r="AD18" s="63">
        <f t="shared" ref="AD18" si="53">AC18-(AA18/I18)</f>
        <v>2200</v>
      </c>
      <c r="AE18" s="63">
        <f t="shared" ref="AE18" si="54">AC18*I18</f>
        <v>88000</v>
      </c>
      <c r="AF18" s="373">
        <f t="shared" ref="AF18" si="55">AE18-AA18</f>
        <v>8800</v>
      </c>
      <c r="AG18" s="383"/>
    </row>
    <row r="19" spans="2:33" ht="18" customHeight="1" x14ac:dyDescent="0.25">
      <c r="B19" s="102" t="s">
        <v>67</v>
      </c>
      <c r="C19" s="102" t="s">
        <v>80</v>
      </c>
      <c r="D19" s="105" t="s">
        <v>18</v>
      </c>
      <c r="E19" s="105" t="s">
        <v>19</v>
      </c>
      <c r="F19" s="106" t="s">
        <v>59</v>
      </c>
      <c r="G19" s="106" t="s">
        <v>23</v>
      </c>
      <c r="H19" s="107">
        <v>120</v>
      </c>
      <c r="I19" s="106">
        <v>72</v>
      </c>
      <c r="J19" s="329">
        <f t="shared" si="4"/>
        <v>8.64</v>
      </c>
      <c r="K19" s="108"/>
      <c r="L19" s="108"/>
      <c r="M19" s="109"/>
      <c r="N19" s="110"/>
      <c r="O19" s="111">
        <v>15.6</v>
      </c>
      <c r="P19" s="112">
        <v>4</v>
      </c>
      <c r="Q19" s="113">
        <v>1</v>
      </c>
      <c r="R19" s="114">
        <f t="shared" ref="R19:R42" si="56">Q19/(P19+Q19)</f>
        <v>0.2</v>
      </c>
      <c r="S19" s="109">
        <f t="shared" ref="S19:S42" si="57">R19*O19</f>
        <v>3.12</v>
      </c>
      <c r="T19" s="115"/>
      <c r="U19" s="108">
        <f t="shared" si="19"/>
        <v>0</v>
      </c>
      <c r="V19" s="110">
        <f>O19-(S19+U19)</f>
        <v>12.48</v>
      </c>
      <c r="W19" s="116">
        <f t="shared" si="21"/>
        <v>0.14444444444444443</v>
      </c>
      <c r="X19" s="116">
        <v>0.4</v>
      </c>
      <c r="Y19" s="116">
        <f t="shared" si="22"/>
        <v>12.88</v>
      </c>
      <c r="Z19" s="117">
        <f t="shared" si="41"/>
        <v>4000</v>
      </c>
      <c r="AA19" s="117">
        <f t="shared" ref="AA19:AA42" si="58">Y19*Z19</f>
        <v>51520</v>
      </c>
      <c r="AB19" s="117"/>
      <c r="AC19" s="117">
        <v>1000</v>
      </c>
      <c r="AD19" s="117">
        <f t="shared" si="15"/>
        <v>284.44444444444446</v>
      </c>
      <c r="AE19" s="117">
        <f t="shared" si="23"/>
        <v>72000</v>
      </c>
      <c r="AF19" s="374">
        <f t="shared" si="24"/>
        <v>20480</v>
      </c>
      <c r="AG19" s="384"/>
    </row>
    <row r="20" spans="2:33" ht="18" customHeight="1" x14ac:dyDescent="0.25">
      <c r="B20" s="102" t="s">
        <v>67</v>
      </c>
      <c r="C20" s="102" t="s">
        <v>80</v>
      </c>
      <c r="D20" s="105" t="s">
        <v>18</v>
      </c>
      <c r="E20" s="105" t="s">
        <v>19</v>
      </c>
      <c r="F20" s="106" t="s">
        <v>59</v>
      </c>
      <c r="G20" s="106" t="s">
        <v>23</v>
      </c>
      <c r="H20" s="107">
        <v>400</v>
      </c>
      <c r="I20" s="106">
        <v>24</v>
      </c>
      <c r="J20" s="329">
        <f t="shared" si="4"/>
        <v>9.6</v>
      </c>
      <c r="K20" s="108"/>
      <c r="L20" s="108"/>
      <c r="M20" s="109"/>
      <c r="N20" s="110"/>
      <c r="O20" s="111">
        <v>13.8</v>
      </c>
      <c r="P20" s="112">
        <v>15</v>
      </c>
      <c r="Q20" s="113">
        <v>1</v>
      </c>
      <c r="R20" s="114">
        <f t="shared" si="56"/>
        <v>6.25E-2</v>
      </c>
      <c r="S20" s="109">
        <f t="shared" si="57"/>
        <v>0.86250000000000004</v>
      </c>
      <c r="T20" s="115"/>
      <c r="U20" s="108">
        <f t="shared" si="19"/>
        <v>0</v>
      </c>
      <c r="V20" s="110">
        <f t="shared" si="20"/>
        <v>12.9375</v>
      </c>
      <c r="W20" s="116">
        <f t="shared" si="21"/>
        <v>0.134765625</v>
      </c>
      <c r="X20" s="116">
        <v>0.3</v>
      </c>
      <c r="Y20" s="116">
        <f t="shared" si="22"/>
        <v>13.237500000000001</v>
      </c>
      <c r="Z20" s="117">
        <f t="shared" si="41"/>
        <v>4000</v>
      </c>
      <c r="AA20" s="117">
        <f t="shared" si="58"/>
        <v>52950</v>
      </c>
      <c r="AB20" s="117"/>
      <c r="AC20" s="117">
        <v>3000</v>
      </c>
      <c r="AD20" s="117">
        <f t="shared" si="15"/>
        <v>793.75</v>
      </c>
      <c r="AE20" s="117">
        <f t="shared" si="23"/>
        <v>72000</v>
      </c>
      <c r="AF20" s="374">
        <f t="shared" si="24"/>
        <v>19050</v>
      </c>
      <c r="AG20" s="384"/>
    </row>
    <row r="21" spans="2:33" ht="18" customHeight="1" x14ac:dyDescent="0.25">
      <c r="B21" s="102" t="s">
        <v>67</v>
      </c>
      <c r="C21" s="102" t="s">
        <v>80</v>
      </c>
      <c r="D21" s="105" t="s">
        <v>18</v>
      </c>
      <c r="E21" s="105" t="s">
        <v>19</v>
      </c>
      <c r="F21" s="106" t="s">
        <v>59</v>
      </c>
      <c r="G21" s="106" t="s">
        <v>23</v>
      </c>
      <c r="H21" s="107">
        <v>800</v>
      </c>
      <c r="I21" s="106">
        <v>12</v>
      </c>
      <c r="J21" s="329">
        <f t="shared" si="4"/>
        <v>9.6</v>
      </c>
      <c r="K21" s="108"/>
      <c r="L21" s="108"/>
      <c r="M21" s="109"/>
      <c r="N21" s="110"/>
      <c r="O21" s="111">
        <v>13.2</v>
      </c>
      <c r="P21" s="112">
        <v>8</v>
      </c>
      <c r="Q21" s="113">
        <v>1</v>
      </c>
      <c r="R21" s="114">
        <f t="shared" si="56"/>
        <v>0.1111111111111111</v>
      </c>
      <c r="S21" s="109">
        <f t="shared" si="57"/>
        <v>1.4666666666666666</v>
      </c>
      <c r="T21" s="115"/>
      <c r="U21" s="108">
        <f t="shared" si="19"/>
        <v>0</v>
      </c>
      <c r="V21" s="110">
        <f t="shared" si="20"/>
        <v>11.733333333333333</v>
      </c>
      <c r="W21" s="116">
        <f t="shared" si="21"/>
        <v>0.12222222222222222</v>
      </c>
      <c r="X21" s="116">
        <v>0.6</v>
      </c>
      <c r="Y21" s="116">
        <f t="shared" si="22"/>
        <v>12.333333333333332</v>
      </c>
      <c r="Z21" s="117">
        <f t="shared" si="41"/>
        <v>4000</v>
      </c>
      <c r="AA21" s="117">
        <f t="shared" si="58"/>
        <v>49333.333333333328</v>
      </c>
      <c r="AB21" s="117"/>
      <c r="AC21" s="117">
        <v>5000</v>
      </c>
      <c r="AD21" s="117">
        <f t="shared" si="15"/>
        <v>888.8888888888896</v>
      </c>
      <c r="AE21" s="117">
        <f t="shared" si="23"/>
        <v>60000</v>
      </c>
      <c r="AF21" s="374">
        <f t="shared" si="24"/>
        <v>10666.666666666672</v>
      </c>
      <c r="AG21" s="384"/>
    </row>
    <row r="22" spans="2:33" ht="18" customHeight="1" x14ac:dyDescent="0.25">
      <c r="B22" s="102" t="s">
        <v>67</v>
      </c>
      <c r="C22" s="102" t="s">
        <v>80</v>
      </c>
      <c r="D22" s="105"/>
      <c r="E22" s="105"/>
      <c r="F22" s="106"/>
      <c r="G22" s="106"/>
      <c r="H22" s="107"/>
      <c r="I22" s="106"/>
      <c r="J22" s="329"/>
      <c r="K22" s="108"/>
      <c r="L22" s="108"/>
      <c r="M22" s="109"/>
      <c r="N22" s="110"/>
      <c r="O22" s="111"/>
      <c r="P22" s="112"/>
      <c r="Q22" s="113"/>
      <c r="R22" s="114"/>
      <c r="S22" s="109"/>
      <c r="T22" s="115"/>
      <c r="U22" s="108"/>
      <c r="V22" s="110"/>
      <c r="W22" s="116"/>
      <c r="X22" s="116"/>
      <c r="Y22" s="116"/>
      <c r="Z22" s="117"/>
      <c r="AA22" s="117"/>
      <c r="AB22" s="117"/>
      <c r="AC22" s="117"/>
      <c r="AD22" s="117"/>
      <c r="AE22" s="117"/>
      <c r="AF22" s="374"/>
      <c r="AG22" s="384"/>
    </row>
    <row r="23" spans="2:33" ht="18" customHeight="1" x14ac:dyDescent="0.25">
      <c r="B23" s="102" t="s">
        <v>67</v>
      </c>
      <c r="C23" s="102" t="s">
        <v>80</v>
      </c>
      <c r="D23" s="105" t="s">
        <v>18</v>
      </c>
      <c r="E23" s="105" t="s">
        <v>19</v>
      </c>
      <c r="F23" s="106" t="s">
        <v>59</v>
      </c>
      <c r="G23" s="106" t="s">
        <v>23</v>
      </c>
      <c r="H23" s="107">
        <v>4000</v>
      </c>
      <c r="I23" s="106">
        <v>3</v>
      </c>
      <c r="J23" s="329">
        <f t="shared" si="4"/>
        <v>12</v>
      </c>
      <c r="K23" s="108"/>
      <c r="L23" s="108"/>
      <c r="M23" s="109"/>
      <c r="N23" s="110"/>
      <c r="O23" s="111">
        <v>14.8</v>
      </c>
      <c r="P23" s="112">
        <v>9</v>
      </c>
      <c r="Q23" s="113">
        <v>1</v>
      </c>
      <c r="R23" s="114">
        <f t="shared" si="56"/>
        <v>0.1</v>
      </c>
      <c r="S23" s="109">
        <f t="shared" si="57"/>
        <v>1.4800000000000002</v>
      </c>
      <c r="T23" s="115"/>
      <c r="U23" s="108">
        <f t="shared" si="19"/>
        <v>0</v>
      </c>
      <c r="V23" s="110">
        <f t="shared" si="20"/>
        <v>13.32</v>
      </c>
      <c r="W23" s="116">
        <f t="shared" si="21"/>
        <v>0.111</v>
      </c>
      <c r="X23" s="116">
        <v>0.4</v>
      </c>
      <c r="Y23" s="116">
        <f t="shared" si="22"/>
        <v>13.72</v>
      </c>
      <c r="Z23" s="117">
        <f>Z21</f>
        <v>4000</v>
      </c>
      <c r="AA23" s="117">
        <f>Y23*Z23</f>
        <v>54880</v>
      </c>
      <c r="AB23" s="117"/>
      <c r="AC23" s="117">
        <v>21000</v>
      </c>
      <c r="AD23" s="117">
        <f>AC23-(AA23/I23)</f>
        <v>2706.6666666666679</v>
      </c>
      <c r="AE23" s="117">
        <f t="shared" si="23"/>
        <v>63000</v>
      </c>
      <c r="AF23" s="374">
        <f>AE23-AA23</f>
        <v>8120</v>
      </c>
      <c r="AG23" s="384"/>
    </row>
    <row r="24" spans="2:33" ht="18" customHeight="1" x14ac:dyDescent="0.25">
      <c r="B24" s="102" t="s">
        <v>67</v>
      </c>
      <c r="C24" s="102" t="s">
        <v>80</v>
      </c>
      <c r="D24" s="118" t="s">
        <v>18</v>
      </c>
      <c r="E24" s="118" t="s">
        <v>19</v>
      </c>
      <c r="F24" s="119" t="s">
        <v>60</v>
      </c>
      <c r="G24" s="119" t="s">
        <v>23</v>
      </c>
      <c r="H24" s="120">
        <v>100</v>
      </c>
      <c r="I24" s="119">
        <v>140</v>
      </c>
      <c r="J24" s="330">
        <f t="shared" ref="J24" si="59">(H24*I24)/1000</f>
        <v>14</v>
      </c>
      <c r="K24" s="121"/>
      <c r="L24" s="121"/>
      <c r="M24" s="122"/>
      <c r="N24" s="123"/>
      <c r="O24" s="124">
        <v>26.25</v>
      </c>
      <c r="P24" s="125">
        <v>1</v>
      </c>
      <c r="Q24" s="126"/>
      <c r="R24" s="127">
        <f t="shared" ref="R24" si="60">Q24/(P24+Q24)</f>
        <v>0</v>
      </c>
      <c r="S24" s="122">
        <f t="shared" ref="S24" si="61">R24*O24</f>
        <v>0</v>
      </c>
      <c r="T24" s="128"/>
      <c r="U24" s="121">
        <f t="shared" ref="U24" si="62">T24*O24</f>
        <v>0</v>
      </c>
      <c r="V24" s="123">
        <f t="shared" ref="V24" si="63">O24-(S24+U24)</f>
        <v>26.25</v>
      </c>
      <c r="W24" s="129">
        <f t="shared" ref="W24" si="64">V24/((H24*I24)/100)</f>
        <v>0.1875</v>
      </c>
      <c r="X24" s="129">
        <v>1</v>
      </c>
      <c r="Y24" s="129">
        <f t="shared" ref="Y24" si="65">V24+X24</f>
        <v>27.25</v>
      </c>
      <c r="Z24" s="130">
        <f t="shared" si="41"/>
        <v>4000</v>
      </c>
      <c r="AA24" s="130">
        <f t="shared" ref="AA24" si="66">Y24*Z24</f>
        <v>109000</v>
      </c>
      <c r="AB24" s="130"/>
      <c r="AC24" s="130">
        <v>1000</v>
      </c>
      <c r="AD24" s="130">
        <f t="shared" ref="AD24" si="67">AC24-(AA24/I24)</f>
        <v>221.42857142857144</v>
      </c>
      <c r="AE24" s="130">
        <f t="shared" ref="AE24" si="68">AC24*I24</f>
        <v>140000</v>
      </c>
      <c r="AF24" s="375">
        <f t="shared" ref="AF24" si="69">AE24-AA24</f>
        <v>31000</v>
      </c>
      <c r="AG24" s="385"/>
    </row>
    <row r="25" spans="2:33" ht="18" customHeight="1" x14ac:dyDescent="0.25">
      <c r="B25" s="102" t="s">
        <v>67</v>
      </c>
      <c r="C25" s="102" t="s">
        <v>80</v>
      </c>
      <c r="D25" s="118" t="s">
        <v>18</v>
      </c>
      <c r="E25" s="118" t="s">
        <v>19</v>
      </c>
      <c r="F25" s="119" t="s">
        <v>60</v>
      </c>
      <c r="G25" s="119" t="s">
        <v>23</v>
      </c>
      <c r="H25" s="120">
        <v>500</v>
      </c>
      <c r="I25" s="119">
        <v>30</v>
      </c>
      <c r="J25" s="330">
        <f t="shared" ref="J25" si="70">(H25*I25)/1000</f>
        <v>15</v>
      </c>
      <c r="K25" s="121"/>
      <c r="L25" s="121"/>
      <c r="M25" s="122"/>
      <c r="N25" s="123"/>
      <c r="O25" s="124">
        <v>26.25</v>
      </c>
      <c r="P25" s="125">
        <v>1</v>
      </c>
      <c r="Q25" s="126"/>
      <c r="R25" s="127">
        <f t="shared" ref="R25" si="71">Q25/(P25+Q25)</f>
        <v>0</v>
      </c>
      <c r="S25" s="122">
        <f t="shared" ref="S25" si="72">R25*O25</f>
        <v>0</v>
      </c>
      <c r="T25" s="128"/>
      <c r="U25" s="121">
        <f t="shared" ref="U25" si="73">T25*O25</f>
        <v>0</v>
      </c>
      <c r="V25" s="123">
        <f t="shared" ref="V25" si="74">O25-(S25+U25)</f>
        <v>26.25</v>
      </c>
      <c r="W25" s="129">
        <f t="shared" ref="W25" si="75">V25/((H25*I25)/100)</f>
        <v>0.17499999999999999</v>
      </c>
      <c r="X25" s="129">
        <v>1</v>
      </c>
      <c r="Y25" s="129">
        <f t="shared" ref="Y25" si="76">V25+X25</f>
        <v>27.25</v>
      </c>
      <c r="Z25" s="130">
        <f t="shared" si="41"/>
        <v>4000</v>
      </c>
      <c r="AA25" s="130">
        <f t="shared" ref="AA25" si="77">Y25*Z25</f>
        <v>109000</v>
      </c>
      <c r="AB25" s="130"/>
      <c r="AC25" s="130">
        <v>5000</v>
      </c>
      <c r="AD25" s="130">
        <f t="shared" ref="AD25" si="78">AC25-(AA25/I25)</f>
        <v>1366.6666666666665</v>
      </c>
      <c r="AE25" s="130">
        <f t="shared" ref="AE25" si="79">AC25*I25</f>
        <v>150000</v>
      </c>
      <c r="AF25" s="375">
        <f t="shared" ref="AF25" si="80">AE25-AA25</f>
        <v>41000</v>
      </c>
      <c r="AG25" s="385"/>
    </row>
    <row r="26" spans="2:33" ht="18" customHeight="1" x14ac:dyDescent="0.25">
      <c r="B26" s="102" t="s">
        <v>67</v>
      </c>
      <c r="C26" s="102" t="s">
        <v>80</v>
      </c>
      <c r="D26" s="118" t="s">
        <v>18</v>
      </c>
      <c r="E26" s="118" t="s">
        <v>19</v>
      </c>
      <c r="F26" s="119" t="s">
        <v>60</v>
      </c>
      <c r="G26" s="119" t="s">
        <v>23</v>
      </c>
      <c r="H26" s="120">
        <v>1000</v>
      </c>
      <c r="I26" s="119">
        <v>15</v>
      </c>
      <c r="J26" s="330">
        <f t="shared" ref="J26" si="81">(H26*I26)/1000</f>
        <v>15</v>
      </c>
      <c r="K26" s="121"/>
      <c r="L26" s="121"/>
      <c r="M26" s="122"/>
      <c r="N26" s="123"/>
      <c r="O26" s="124">
        <v>26.25</v>
      </c>
      <c r="P26" s="125">
        <v>1</v>
      </c>
      <c r="Q26" s="126"/>
      <c r="R26" s="127">
        <f t="shared" ref="R26" si="82">Q26/(P26+Q26)</f>
        <v>0</v>
      </c>
      <c r="S26" s="122">
        <f t="shared" ref="S26" si="83">R26*O26</f>
        <v>0</v>
      </c>
      <c r="T26" s="128"/>
      <c r="U26" s="121">
        <f t="shared" ref="U26" si="84">T26*O26</f>
        <v>0</v>
      </c>
      <c r="V26" s="123">
        <f t="shared" ref="V26" si="85">O26-(S26+U26)</f>
        <v>26.25</v>
      </c>
      <c r="W26" s="129">
        <f t="shared" ref="W26" si="86">V26/((H26*I26)/100)</f>
        <v>0.17499999999999999</v>
      </c>
      <c r="X26" s="129">
        <v>1</v>
      </c>
      <c r="Y26" s="129">
        <f t="shared" ref="Y26" si="87">V26+X26</f>
        <v>27.25</v>
      </c>
      <c r="Z26" s="130">
        <f t="shared" si="41"/>
        <v>4000</v>
      </c>
      <c r="AA26" s="130">
        <f t="shared" ref="AA26" si="88">Y26*Z26</f>
        <v>109000</v>
      </c>
      <c r="AB26" s="130"/>
      <c r="AC26" s="130">
        <v>8000</v>
      </c>
      <c r="AD26" s="130">
        <f t="shared" ref="AD26" si="89">AC26-(AA26/I26)</f>
        <v>733.33333333333303</v>
      </c>
      <c r="AE26" s="130">
        <f t="shared" ref="AE26" si="90">AC26*I26</f>
        <v>120000</v>
      </c>
      <c r="AF26" s="375">
        <f t="shared" ref="AF26" si="91">AE26-AA26</f>
        <v>11000</v>
      </c>
      <c r="AG26" s="385"/>
    </row>
    <row r="27" spans="2:33" ht="18" customHeight="1" x14ac:dyDescent="0.25">
      <c r="B27" s="102" t="s">
        <v>67</v>
      </c>
      <c r="C27" s="102" t="s">
        <v>80</v>
      </c>
      <c r="D27" s="118" t="s">
        <v>18</v>
      </c>
      <c r="E27" s="118" t="s">
        <v>19</v>
      </c>
      <c r="F27" s="119" t="s">
        <v>60</v>
      </c>
      <c r="G27" s="119" t="s">
        <v>23</v>
      </c>
      <c r="H27" s="120">
        <v>3000</v>
      </c>
      <c r="I27" s="119">
        <v>5</v>
      </c>
      <c r="J27" s="330">
        <f t="shared" ref="J27" si="92">(H27*I27)/1000</f>
        <v>15</v>
      </c>
      <c r="K27" s="121"/>
      <c r="L27" s="121"/>
      <c r="M27" s="122"/>
      <c r="N27" s="123"/>
      <c r="O27" s="124">
        <v>26.25</v>
      </c>
      <c r="P27" s="125">
        <v>1</v>
      </c>
      <c r="Q27" s="126"/>
      <c r="R27" s="127">
        <f t="shared" ref="R27" si="93">Q27/(P27+Q27)</f>
        <v>0</v>
      </c>
      <c r="S27" s="122">
        <f t="shared" ref="S27" si="94">R27*O27</f>
        <v>0</v>
      </c>
      <c r="T27" s="128"/>
      <c r="U27" s="121">
        <f t="shared" ref="U27" si="95">T27*O27</f>
        <v>0</v>
      </c>
      <c r="V27" s="123">
        <f t="shared" ref="V27" si="96">O27-(S27+U27)</f>
        <v>26.25</v>
      </c>
      <c r="W27" s="129">
        <f t="shared" ref="W27" si="97">V27/((H27*I27)/100)</f>
        <v>0.17499999999999999</v>
      </c>
      <c r="X27" s="129">
        <v>1</v>
      </c>
      <c r="Y27" s="129">
        <f t="shared" ref="Y27" si="98">V27+X27</f>
        <v>27.25</v>
      </c>
      <c r="Z27" s="130">
        <f t="shared" si="41"/>
        <v>4000</v>
      </c>
      <c r="AA27" s="130">
        <f t="shared" ref="AA27" si="99">Y27*Z27</f>
        <v>109000</v>
      </c>
      <c r="AB27" s="130"/>
      <c r="AC27" s="130">
        <v>23000</v>
      </c>
      <c r="AD27" s="130">
        <f t="shared" ref="AD27" si="100">AC27-(AA27/I27)</f>
        <v>1200</v>
      </c>
      <c r="AE27" s="130">
        <f t="shared" ref="AE27" si="101">AC27*I27</f>
        <v>115000</v>
      </c>
      <c r="AF27" s="375">
        <f t="shared" ref="AF27" si="102">AE27-AA27</f>
        <v>6000</v>
      </c>
      <c r="AG27" s="385"/>
    </row>
    <row r="28" spans="2:33" ht="18" customHeight="1" x14ac:dyDescent="0.25">
      <c r="B28" s="102" t="s">
        <v>67</v>
      </c>
      <c r="C28" s="102" t="s">
        <v>80</v>
      </c>
      <c r="D28" s="131" t="s">
        <v>18</v>
      </c>
      <c r="E28" s="131" t="s">
        <v>19</v>
      </c>
      <c r="F28" s="132" t="s">
        <v>61</v>
      </c>
      <c r="G28" s="132" t="s">
        <v>23</v>
      </c>
      <c r="H28" s="133">
        <v>110</v>
      </c>
      <c r="I28" s="132">
        <v>80</v>
      </c>
      <c r="J28" s="331">
        <f t="shared" si="4"/>
        <v>8.8000000000000007</v>
      </c>
      <c r="K28" s="134"/>
      <c r="L28" s="134"/>
      <c r="M28" s="135"/>
      <c r="N28" s="136"/>
      <c r="O28" s="137">
        <v>16.5</v>
      </c>
      <c r="P28" s="351">
        <v>1</v>
      </c>
      <c r="Q28" s="138"/>
      <c r="R28" s="139">
        <f t="shared" si="56"/>
        <v>0</v>
      </c>
      <c r="S28" s="135">
        <f t="shared" si="57"/>
        <v>0</v>
      </c>
      <c r="T28" s="140">
        <f>(O28-12.22)/O28</f>
        <v>0.25939393939393934</v>
      </c>
      <c r="U28" s="134">
        <f t="shared" si="19"/>
        <v>4.2799999999999994</v>
      </c>
      <c r="V28" s="136">
        <f t="shared" si="20"/>
        <v>12.22</v>
      </c>
      <c r="W28" s="141">
        <f t="shared" si="21"/>
        <v>0.13886363636363638</v>
      </c>
      <c r="X28" s="141">
        <v>0.28000000000000003</v>
      </c>
      <c r="Y28" s="141">
        <f t="shared" si="22"/>
        <v>12.5</v>
      </c>
      <c r="Z28" s="142">
        <f t="shared" si="41"/>
        <v>4000</v>
      </c>
      <c r="AA28" s="142">
        <f t="shared" si="58"/>
        <v>50000</v>
      </c>
      <c r="AB28" s="142"/>
      <c r="AC28" s="142">
        <v>1000</v>
      </c>
      <c r="AD28" s="142">
        <f t="shared" si="15"/>
        <v>375</v>
      </c>
      <c r="AE28" s="142">
        <f t="shared" si="23"/>
        <v>80000</v>
      </c>
      <c r="AF28" s="376">
        <f t="shared" si="24"/>
        <v>30000</v>
      </c>
      <c r="AG28" s="386"/>
    </row>
    <row r="29" spans="2:33" ht="18" customHeight="1" x14ac:dyDescent="0.25">
      <c r="B29" s="102" t="s">
        <v>67</v>
      </c>
      <c r="C29" s="102" t="s">
        <v>80</v>
      </c>
      <c r="D29" s="131" t="s">
        <v>18</v>
      </c>
      <c r="E29" s="131" t="s">
        <v>19</v>
      </c>
      <c r="F29" s="132" t="s">
        <v>61</v>
      </c>
      <c r="G29" s="132" t="s">
        <v>23</v>
      </c>
      <c r="H29" s="133">
        <v>350</v>
      </c>
      <c r="I29" s="132">
        <v>36</v>
      </c>
      <c r="J29" s="331">
        <f t="shared" si="4"/>
        <v>12.6</v>
      </c>
      <c r="K29" s="134"/>
      <c r="L29" s="134"/>
      <c r="M29" s="135"/>
      <c r="N29" s="136"/>
      <c r="O29" s="137">
        <v>24</v>
      </c>
      <c r="P29" s="351">
        <v>1</v>
      </c>
      <c r="Q29" s="138"/>
      <c r="R29" s="139">
        <f t="shared" si="56"/>
        <v>0</v>
      </c>
      <c r="S29" s="135">
        <f t="shared" si="57"/>
        <v>0</v>
      </c>
      <c r="T29" s="140">
        <f>(O29-19.72)/O29</f>
        <v>0.17833333333333337</v>
      </c>
      <c r="U29" s="134">
        <f t="shared" si="19"/>
        <v>4.2800000000000011</v>
      </c>
      <c r="V29" s="136">
        <f t="shared" si="20"/>
        <v>19.72</v>
      </c>
      <c r="W29" s="141">
        <f t="shared" si="21"/>
        <v>0.15650793650793651</v>
      </c>
      <c r="X29" s="141">
        <v>0.28000000000000003</v>
      </c>
      <c r="Y29" s="141">
        <f t="shared" si="22"/>
        <v>20</v>
      </c>
      <c r="Z29" s="142">
        <f t="shared" si="41"/>
        <v>4000</v>
      </c>
      <c r="AA29" s="142">
        <f t="shared" si="58"/>
        <v>80000</v>
      </c>
      <c r="AB29" s="142"/>
      <c r="AC29" s="142">
        <v>3500</v>
      </c>
      <c r="AD29" s="142">
        <f t="shared" si="15"/>
        <v>1277.7777777777778</v>
      </c>
      <c r="AE29" s="142">
        <f t="shared" si="23"/>
        <v>126000</v>
      </c>
      <c r="AF29" s="376">
        <f t="shared" si="24"/>
        <v>46000</v>
      </c>
      <c r="AG29" s="386"/>
    </row>
    <row r="30" spans="2:33" ht="18" customHeight="1" x14ac:dyDescent="0.25">
      <c r="B30" s="102" t="s">
        <v>67</v>
      </c>
      <c r="C30" s="102" t="s">
        <v>80</v>
      </c>
      <c r="D30" s="131" t="s">
        <v>18</v>
      </c>
      <c r="E30" s="131" t="s">
        <v>19</v>
      </c>
      <c r="F30" s="132" t="s">
        <v>61</v>
      </c>
      <c r="G30" s="132" t="s">
        <v>23</v>
      </c>
      <c r="H30" s="133">
        <v>3700</v>
      </c>
      <c r="I30" s="132">
        <v>4</v>
      </c>
      <c r="J30" s="331">
        <f t="shared" si="4"/>
        <v>14.8</v>
      </c>
      <c r="K30" s="134"/>
      <c r="L30" s="134"/>
      <c r="M30" s="135"/>
      <c r="N30" s="136"/>
      <c r="O30" s="137">
        <v>20</v>
      </c>
      <c r="P30" s="351">
        <v>1</v>
      </c>
      <c r="Q30" s="138"/>
      <c r="R30" s="139">
        <f t="shared" si="56"/>
        <v>0</v>
      </c>
      <c r="S30" s="135">
        <f t="shared" si="57"/>
        <v>0</v>
      </c>
      <c r="T30" s="140">
        <f>(O30-15.72)/O30</f>
        <v>0.21399999999999997</v>
      </c>
      <c r="U30" s="134">
        <f t="shared" si="19"/>
        <v>4.2799999999999994</v>
      </c>
      <c r="V30" s="136">
        <f t="shared" si="20"/>
        <v>15.72</v>
      </c>
      <c r="W30" s="141">
        <f t="shared" si="21"/>
        <v>0.10621621621621621</v>
      </c>
      <c r="X30" s="141">
        <v>0.28000000000000003</v>
      </c>
      <c r="Y30" s="141">
        <f t="shared" si="22"/>
        <v>16</v>
      </c>
      <c r="Z30" s="142">
        <f t="shared" si="41"/>
        <v>4000</v>
      </c>
      <c r="AA30" s="142">
        <f t="shared" si="58"/>
        <v>64000</v>
      </c>
      <c r="AB30" s="142"/>
      <c r="AC30" s="142">
        <v>20000</v>
      </c>
      <c r="AD30" s="142">
        <f t="shared" si="15"/>
        <v>4000</v>
      </c>
      <c r="AE30" s="142">
        <f t="shared" si="23"/>
        <v>80000</v>
      </c>
      <c r="AF30" s="376">
        <f t="shared" si="24"/>
        <v>16000</v>
      </c>
      <c r="AG30" s="386"/>
    </row>
    <row r="31" spans="2:33" ht="18" customHeight="1" x14ac:dyDescent="0.25">
      <c r="B31" s="102" t="s">
        <v>67</v>
      </c>
      <c r="C31" s="102" t="s">
        <v>80</v>
      </c>
      <c r="D31" s="64" t="s">
        <v>18</v>
      </c>
      <c r="E31" s="64" t="s">
        <v>19</v>
      </c>
      <c r="F31" s="65" t="s">
        <v>62</v>
      </c>
      <c r="G31" s="65" t="s">
        <v>23</v>
      </c>
      <c r="H31" s="143">
        <v>130</v>
      </c>
      <c r="I31" s="65">
        <v>72</v>
      </c>
      <c r="J31" s="332">
        <f t="shared" si="4"/>
        <v>9.36</v>
      </c>
      <c r="K31" s="66"/>
      <c r="L31" s="66"/>
      <c r="M31" s="67"/>
      <c r="N31" s="68"/>
      <c r="O31" s="69">
        <v>12.7</v>
      </c>
      <c r="P31" s="70">
        <v>5</v>
      </c>
      <c r="Q31" s="144">
        <f>12/72</f>
        <v>0.16666666666666666</v>
      </c>
      <c r="R31" s="71">
        <f t="shared" si="56"/>
        <v>3.2258064516129031E-2</v>
      </c>
      <c r="S31" s="67">
        <f t="shared" si="57"/>
        <v>0.4096774193548387</v>
      </c>
      <c r="T31" s="72"/>
      <c r="U31" s="66">
        <f t="shared" si="19"/>
        <v>0</v>
      </c>
      <c r="V31" s="68">
        <f t="shared" si="20"/>
        <v>12.29032258064516</v>
      </c>
      <c r="W31" s="73">
        <f t="shared" si="21"/>
        <v>0.13130686517783291</v>
      </c>
      <c r="X31" s="73">
        <v>0.5</v>
      </c>
      <c r="Y31" s="73">
        <f>V31+X31</f>
        <v>12.79032258064516</v>
      </c>
      <c r="Z31" s="74">
        <f t="shared" si="41"/>
        <v>4000</v>
      </c>
      <c r="AA31" s="74">
        <f t="shared" si="58"/>
        <v>51161.290322580644</v>
      </c>
      <c r="AB31" s="74"/>
      <c r="AC31" s="74">
        <v>1000</v>
      </c>
      <c r="AD31" s="74">
        <f t="shared" si="15"/>
        <v>289.42652329749103</v>
      </c>
      <c r="AE31" s="74">
        <f t="shared" si="23"/>
        <v>72000</v>
      </c>
      <c r="AF31" s="377">
        <f t="shared" si="24"/>
        <v>20838.709677419356</v>
      </c>
      <c r="AG31" s="387"/>
    </row>
    <row r="32" spans="2:33" ht="18" customHeight="1" x14ac:dyDescent="0.25">
      <c r="B32" s="102" t="s">
        <v>67</v>
      </c>
      <c r="C32" s="102" t="s">
        <v>80</v>
      </c>
      <c r="D32" s="64" t="s">
        <v>18</v>
      </c>
      <c r="E32" s="64" t="s">
        <v>19</v>
      </c>
      <c r="F32" s="65" t="s">
        <v>62</v>
      </c>
      <c r="G32" s="65" t="s">
        <v>23</v>
      </c>
      <c r="H32" s="143">
        <v>400</v>
      </c>
      <c r="I32" s="65">
        <v>36</v>
      </c>
      <c r="J32" s="332">
        <f t="shared" si="4"/>
        <v>14.4</v>
      </c>
      <c r="K32" s="66"/>
      <c r="L32" s="66"/>
      <c r="M32" s="67"/>
      <c r="N32" s="68"/>
      <c r="O32" s="69">
        <v>18.5</v>
      </c>
      <c r="P32" s="70">
        <v>2</v>
      </c>
      <c r="Q32" s="144">
        <f>3/36</f>
        <v>8.3333333333333329E-2</v>
      </c>
      <c r="R32" s="71">
        <f t="shared" si="56"/>
        <v>3.9999999999999994E-2</v>
      </c>
      <c r="S32" s="67">
        <f t="shared" si="57"/>
        <v>0.73999999999999988</v>
      </c>
      <c r="T32" s="72"/>
      <c r="U32" s="66">
        <f t="shared" si="19"/>
        <v>0</v>
      </c>
      <c r="V32" s="68">
        <f t="shared" si="20"/>
        <v>17.760000000000002</v>
      </c>
      <c r="W32" s="73">
        <f t="shared" si="21"/>
        <v>0.12333333333333335</v>
      </c>
      <c r="X32" s="73">
        <v>0.3</v>
      </c>
      <c r="Y32" s="73">
        <f t="shared" si="22"/>
        <v>18.060000000000002</v>
      </c>
      <c r="Z32" s="74">
        <f t="shared" si="41"/>
        <v>4000</v>
      </c>
      <c r="AA32" s="74">
        <f t="shared" si="58"/>
        <v>72240.000000000015</v>
      </c>
      <c r="AB32" s="74"/>
      <c r="AC32" s="74">
        <v>3500</v>
      </c>
      <c r="AD32" s="74">
        <f t="shared" si="15"/>
        <v>1493.333333333333</v>
      </c>
      <c r="AE32" s="74">
        <f t="shared" si="23"/>
        <v>126000</v>
      </c>
      <c r="AF32" s="377">
        <f t="shared" si="24"/>
        <v>53759.999999999985</v>
      </c>
      <c r="AG32" s="387"/>
    </row>
    <row r="33" spans="2:33" ht="18" customHeight="1" x14ac:dyDescent="0.25">
      <c r="B33" s="102" t="s">
        <v>67</v>
      </c>
      <c r="C33" s="102" t="s">
        <v>80</v>
      </c>
      <c r="D33" s="64" t="s">
        <v>18</v>
      </c>
      <c r="E33" s="64" t="s">
        <v>19</v>
      </c>
      <c r="F33" s="65" t="s">
        <v>62</v>
      </c>
      <c r="G33" s="65" t="s">
        <v>23</v>
      </c>
      <c r="H33" s="143">
        <v>1000</v>
      </c>
      <c r="I33" s="65">
        <v>12</v>
      </c>
      <c r="J33" s="332">
        <f t="shared" si="4"/>
        <v>12</v>
      </c>
      <c r="K33" s="66"/>
      <c r="L33" s="66"/>
      <c r="M33" s="67"/>
      <c r="N33" s="68"/>
      <c r="O33" s="69">
        <v>15</v>
      </c>
      <c r="P33" s="70">
        <v>3</v>
      </c>
      <c r="Q33" s="144">
        <f>1/12</f>
        <v>8.3333333333333329E-2</v>
      </c>
      <c r="R33" s="71">
        <f t="shared" si="56"/>
        <v>2.7027027027027025E-2</v>
      </c>
      <c r="S33" s="67">
        <f t="shared" si="57"/>
        <v>0.40540540540540537</v>
      </c>
      <c r="T33" s="72"/>
      <c r="U33" s="66">
        <f t="shared" si="19"/>
        <v>0</v>
      </c>
      <c r="V33" s="68">
        <f t="shared" si="20"/>
        <v>14.594594594594595</v>
      </c>
      <c r="W33" s="73">
        <f t="shared" si="21"/>
        <v>0.12162162162162163</v>
      </c>
      <c r="X33" s="73">
        <v>0.5</v>
      </c>
      <c r="Y33" s="73">
        <f t="shared" si="22"/>
        <v>15.094594594594595</v>
      </c>
      <c r="Z33" s="74">
        <f t="shared" si="41"/>
        <v>4000</v>
      </c>
      <c r="AA33" s="74">
        <f t="shared" si="58"/>
        <v>60378.37837837838</v>
      </c>
      <c r="AB33" s="74"/>
      <c r="AC33" s="74">
        <v>5000</v>
      </c>
      <c r="AD33" s="74">
        <f>AC33-(AA33/I33)</f>
        <v>-31.531531531531982</v>
      </c>
      <c r="AE33" s="74">
        <f t="shared" si="23"/>
        <v>60000</v>
      </c>
      <c r="AF33" s="377">
        <f t="shared" si="24"/>
        <v>-378.37837837838015</v>
      </c>
      <c r="AG33" s="387"/>
    </row>
    <row r="34" spans="2:33" ht="18" customHeight="1" x14ac:dyDescent="0.25">
      <c r="B34" s="102" t="s">
        <v>67</v>
      </c>
      <c r="C34" s="102" t="s">
        <v>80</v>
      </c>
      <c r="D34" s="64" t="s">
        <v>18</v>
      </c>
      <c r="E34" s="64" t="s">
        <v>19</v>
      </c>
      <c r="F34" s="65" t="s">
        <v>62</v>
      </c>
      <c r="G34" s="65" t="s">
        <v>23</v>
      </c>
      <c r="H34" s="143">
        <v>4000</v>
      </c>
      <c r="I34" s="65">
        <v>4</v>
      </c>
      <c r="J34" s="332">
        <f t="shared" si="4"/>
        <v>16</v>
      </c>
      <c r="K34" s="66"/>
      <c r="L34" s="66"/>
      <c r="M34" s="67"/>
      <c r="N34" s="68"/>
      <c r="O34" s="69">
        <v>19.5</v>
      </c>
      <c r="P34" s="70">
        <v>6</v>
      </c>
      <c r="Q34" s="144">
        <f>1/4</f>
        <v>0.25</v>
      </c>
      <c r="R34" s="71">
        <f t="shared" si="56"/>
        <v>0.04</v>
      </c>
      <c r="S34" s="67">
        <f t="shared" si="57"/>
        <v>0.78</v>
      </c>
      <c r="T34" s="72"/>
      <c r="U34" s="66">
        <f t="shared" si="19"/>
        <v>0</v>
      </c>
      <c r="V34" s="68">
        <f t="shared" si="20"/>
        <v>18.72</v>
      </c>
      <c r="W34" s="73">
        <f t="shared" si="21"/>
        <v>0.11699999999999999</v>
      </c>
      <c r="X34" s="73">
        <v>0.5</v>
      </c>
      <c r="Y34" s="73">
        <f t="shared" si="22"/>
        <v>19.22</v>
      </c>
      <c r="Z34" s="74">
        <f t="shared" si="41"/>
        <v>4000</v>
      </c>
      <c r="AA34" s="74">
        <f t="shared" si="58"/>
        <v>76880</v>
      </c>
      <c r="AB34" s="74"/>
      <c r="AC34" s="74">
        <v>20000</v>
      </c>
      <c r="AD34" s="74">
        <f>AC34-(AA34/I34)</f>
        <v>780</v>
      </c>
      <c r="AE34" s="74">
        <f t="shared" si="23"/>
        <v>80000</v>
      </c>
      <c r="AF34" s="377">
        <f t="shared" si="24"/>
        <v>3120</v>
      </c>
      <c r="AG34" s="387"/>
    </row>
    <row r="35" spans="2:33" ht="18" customHeight="1" x14ac:dyDescent="0.25">
      <c r="B35" s="102" t="s">
        <v>67</v>
      </c>
      <c r="C35" s="102" t="s">
        <v>80</v>
      </c>
      <c r="D35" s="145" t="s">
        <v>18</v>
      </c>
      <c r="E35" s="145" t="s">
        <v>19</v>
      </c>
      <c r="F35" s="146">
        <v>108</v>
      </c>
      <c r="G35" s="146" t="s">
        <v>23</v>
      </c>
      <c r="H35" s="147">
        <v>300</v>
      </c>
      <c r="I35" s="146">
        <v>36</v>
      </c>
      <c r="J35" s="333">
        <f t="shared" si="4"/>
        <v>10.8</v>
      </c>
      <c r="K35" s="148"/>
      <c r="L35" s="148"/>
      <c r="M35" s="149"/>
      <c r="N35" s="150"/>
      <c r="O35" s="151">
        <v>18.05</v>
      </c>
      <c r="P35" s="152">
        <v>1</v>
      </c>
      <c r="Q35" s="153"/>
      <c r="R35" s="154">
        <f t="shared" si="56"/>
        <v>0</v>
      </c>
      <c r="S35" s="149">
        <f t="shared" si="57"/>
        <v>0</v>
      </c>
      <c r="T35" s="155"/>
      <c r="U35" s="148">
        <f t="shared" si="19"/>
        <v>0</v>
      </c>
      <c r="V35" s="150">
        <f t="shared" si="20"/>
        <v>18.05</v>
      </c>
      <c r="W35" s="156">
        <f t="shared" si="21"/>
        <v>0.16712962962962963</v>
      </c>
      <c r="X35" s="156">
        <v>1.27</v>
      </c>
      <c r="Y35" s="156">
        <f t="shared" si="22"/>
        <v>19.32</v>
      </c>
      <c r="Z35" s="157">
        <f t="shared" si="41"/>
        <v>4000</v>
      </c>
      <c r="AA35" s="157">
        <f t="shared" si="58"/>
        <v>77280</v>
      </c>
      <c r="AB35" s="157"/>
      <c r="AC35" s="157">
        <v>3000</v>
      </c>
      <c r="AD35" s="157">
        <f t="shared" si="15"/>
        <v>853.33333333333348</v>
      </c>
      <c r="AE35" s="157">
        <f t="shared" si="23"/>
        <v>108000</v>
      </c>
      <c r="AF35" s="378">
        <f t="shared" si="24"/>
        <v>30720</v>
      </c>
      <c r="AG35" s="388"/>
    </row>
    <row r="36" spans="2:33" ht="18" customHeight="1" x14ac:dyDescent="0.25">
      <c r="B36" s="102" t="s">
        <v>67</v>
      </c>
      <c r="C36" s="102" t="s">
        <v>80</v>
      </c>
      <c r="D36" s="145" t="s">
        <v>18</v>
      </c>
      <c r="E36" s="145" t="s">
        <v>19</v>
      </c>
      <c r="F36" s="146">
        <v>108</v>
      </c>
      <c r="G36" s="146" t="s">
        <v>23</v>
      </c>
      <c r="H36" s="147">
        <v>1000</v>
      </c>
      <c r="I36" s="146">
        <v>12</v>
      </c>
      <c r="J36" s="333">
        <f t="shared" si="4"/>
        <v>12</v>
      </c>
      <c r="K36" s="148"/>
      <c r="L36" s="148"/>
      <c r="M36" s="149"/>
      <c r="N36" s="150"/>
      <c r="O36" s="151">
        <v>14.5</v>
      </c>
      <c r="P36" s="152">
        <v>1</v>
      </c>
      <c r="Q36" s="153"/>
      <c r="R36" s="154">
        <f t="shared" si="56"/>
        <v>0</v>
      </c>
      <c r="S36" s="149">
        <f t="shared" si="57"/>
        <v>0</v>
      </c>
      <c r="T36" s="155"/>
      <c r="U36" s="148">
        <f t="shared" si="19"/>
        <v>0</v>
      </c>
      <c r="V36" s="150">
        <f t="shared" si="20"/>
        <v>14.5</v>
      </c>
      <c r="W36" s="156">
        <f t="shared" si="21"/>
        <v>0.12083333333333333</v>
      </c>
      <c r="X36" s="156">
        <v>0.3</v>
      </c>
      <c r="Y36" s="156">
        <f t="shared" si="22"/>
        <v>14.8</v>
      </c>
      <c r="Z36" s="157">
        <f t="shared" si="41"/>
        <v>4000</v>
      </c>
      <c r="AA36" s="157">
        <f t="shared" si="58"/>
        <v>59200</v>
      </c>
      <c r="AB36" s="157"/>
      <c r="AC36" s="157">
        <v>6000</v>
      </c>
      <c r="AD36" s="157">
        <f t="shared" si="15"/>
        <v>1066.666666666667</v>
      </c>
      <c r="AE36" s="157">
        <f t="shared" si="23"/>
        <v>72000</v>
      </c>
      <c r="AF36" s="378">
        <f t="shared" si="24"/>
        <v>12800</v>
      </c>
      <c r="AG36" s="388"/>
    </row>
    <row r="37" spans="2:33" ht="18" customHeight="1" x14ac:dyDescent="0.25">
      <c r="B37" s="102" t="s">
        <v>67</v>
      </c>
      <c r="C37" s="102" t="s">
        <v>80</v>
      </c>
      <c r="D37" s="145" t="s">
        <v>18</v>
      </c>
      <c r="E37" s="145" t="s">
        <v>19</v>
      </c>
      <c r="F37" s="146">
        <v>108</v>
      </c>
      <c r="G37" s="146" t="s">
        <v>23</v>
      </c>
      <c r="H37" s="147">
        <v>3200</v>
      </c>
      <c r="I37" s="146">
        <v>4</v>
      </c>
      <c r="J37" s="333">
        <f t="shared" si="4"/>
        <v>12.8</v>
      </c>
      <c r="K37" s="148"/>
      <c r="L37" s="148"/>
      <c r="M37" s="149"/>
      <c r="N37" s="150"/>
      <c r="O37" s="151">
        <v>14.8</v>
      </c>
      <c r="P37" s="152">
        <v>1</v>
      </c>
      <c r="Q37" s="153"/>
      <c r="R37" s="154">
        <f t="shared" si="56"/>
        <v>0</v>
      </c>
      <c r="S37" s="149">
        <f t="shared" si="57"/>
        <v>0</v>
      </c>
      <c r="T37" s="155"/>
      <c r="U37" s="148">
        <f t="shared" si="19"/>
        <v>0</v>
      </c>
      <c r="V37" s="150">
        <f t="shared" si="20"/>
        <v>14.8</v>
      </c>
      <c r="W37" s="156">
        <f t="shared" si="21"/>
        <v>0.11562500000000001</v>
      </c>
      <c r="X37" s="156">
        <v>0.3</v>
      </c>
      <c r="Y37" s="156">
        <f t="shared" si="22"/>
        <v>15.100000000000001</v>
      </c>
      <c r="Z37" s="157">
        <f t="shared" si="41"/>
        <v>4000</v>
      </c>
      <c r="AA37" s="157">
        <f t="shared" si="58"/>
        <v>60400.000000000007</v>
      </c>
      <c r="AB37" s="157"/>
      <c r="AC37" s="157">
        <v>17000</v>
      </c>
      <c r="AD37" s="157">
        <f t="shared" si="15"/>
        <v>1899.9999999999982</v>
      </c>
      <c r="AE37" s="157">
        <f t="shared" si="23"/>
        <v>68000</v>
      </c>
      <c r="AF37" s="378">
        <f t="shared" si="24"/>
        <v>7599.9999999999927</v>
      </c>
      <c r="AG37" s="388"/>
    </row>
    <row r="38" spans="2:33" ht="18" customHeight="1" x14ac:dyDescent="0.25">
      <c r="B38" s="102" t="s">
        <v>67</v>
      </c>
      <c r="C38" s="102" t="s">
        <v>80</v>
      </c>
      <c r="D38" s="86" t="s">
        <v>18</v>
      </c>
      <c r="E38" s="86" t="s">
        <v>19</v>
      </c>
      <c r="F38" s="87" t="s">
        <v>63</v>
      </c>
      <c r="G38" s="87" t="s">
        <v>24</v>
      </c>
      <c r="H38" s="158">
        <v>4000</v>
      </c>
      <c r="I38" s="87">
        <v>1</v>
      </c>
      <c r="J38" s="334">
        <f t="shared" si="4"/>
        <v>4</v>
      </c>
      <c r="K38" s="94"/>
      <c r="L38" s="94"/>
      <c r="M38" s="92"/>
      <c r="N38" s="95"/>
      <c r="O38" s="88">
        <v>5</v>
      </c>
      <c r="P38" s="89">
        <v>1</v>
      </c>
      <c r="Q38" s="90"/>
      <c r="R38" s="91">
        <f t="shared" si="56"/>
        <v>0</v>
      </c>
      <c r="S38" s="92">
        <f t="shared" si="57"/>
        <v>0</v>
      </c>
      <c r="T38" s="93"/>
      <c r="U38" s="94">
        <f t="shared" si="19"/>
        <v>0</v>
      </c>
      <c r="V38" s="95">
        <f t="shared" si="20"/>
        <v>5</v>
      </c>
      <c r="W38" s="96">
        <f t="shared" si="21"/>
        <v>0.125</v>
      </c>
      <c r="X38" s="96">
        <v>0.2</v>
      </c>
      <c r="Y38" s="96">
        <f t="shared" si="22"/>
        <v>5.2</v>
      </c>
      <c r="Z38" s="97">
        <f t="shared" si="41"/>
        <v>4000</v>
      </c>
      <c r="AA38" s="97">
        <f t="shared" si="58"/>
        <v>20800</v>
      </c>
      <c r="AB38" s="97"/>
      <c r="AC38" s="97">
        <v>22000</v>
      </c>
      <c r="AD38" s="97">
        <f t="shared" si="15"/>
        <v>1200</v>
      </c>
      <c r="AE38" s="97">
        <f t="shared" si="23"/>
        <v>22000</v>
      </c>
      <c r="AF38" s="379">
        <f t="shared" si="24"/>
        <v>1200</v>
      </c>
      <c r="AG38" s="389"/>
    </row>
    <row r="39" spans="2:33" ht="18" customHeight="1" x14ac:dyDescent="0.25">
      <c r="B39" s="102" t="s">
        <v>67</v>
      </c>
      <c r="C39" s="102" t="s">
        <v>80</v>
      </c>
      <c r="D39" s="118" t="s">
        <v>18</v>
      </c>
      <c r="E39" s="118" t="s">
        <v>19</v>
      </c>
      <c r="F39" s="119" t="s">
        <v>64</v>
      </c>
      <c r="G39" s="119" t="s">
        <v>24</v>
      </c>
      <c r="H39" s="120">
        <v>4000</v>
      </c>
      <c r="I39" s="119">
        <v>1</v>
      </c>
      <c r="J39" s="330">
        <f t="shared" si="4"/>
        <v>4</v>
      </c>
      <c r="K39" s="121"/>
      <c r="L39" s="121"/>
      <c r="M39" s="122"/>
      <c r="N39" s="123"/>
      <c r="O39" s="124">
        <v>6</v>
      </c>
      <c r="P39" s="125">
        <v>10</v>
      </c>
      <c r="Q39" s="126">
        <v>1</v>
      </c>
      <c r="R39" s="127">
        <f t="shared" si="56"/>
        <v>9.0909090909090912E-2</v>
      </c>
      <c r="S39" s="122">
        <f>R39*O39</f>
        <v>0.54545454545454541</v>
      </c>
      <c r="T39" s="128"/>
      <c r="U39" s="121">
        <f t="shared" si="19"/>
        <v>0</v>
      </c>
      <c r="V39" s="123">
        <f t="shared" si="20"/>
        <v>5.454545454545455</v>
      </c>
      <c r="W39" s="129">
        <f t="shared" si="21"/>
        <v>0.13636363636363638</v>
      </c>
      <c r="X39" s="129">
        <v>0.25</v>
      </c>
      <c r="Y39" s="129">
        <f t="shared" si="22"/>
        <v>5.704545454545455</v>
      </c>
      <c r="Z39" s="130">
        <f t="shared" si="41"/>
        <v>4000</v>
      </c>
      <c r="AA39" s="130">
        <f t="shared" si="58"/>
        <v>22818.18181818182</v>
      </c>
      <c r="AB39" s="130"/>
      <c r="AC39" s="130">
        <v>24000</v>
      </c>
      <c r="AD39" s="130">
        <f t="shared" si="15"/>
        <v>1181.8181818181802</v>
      </c>
      <c r="AE39" s="130">
        <f t="shared" si="23"/>
        <v>24000</v>
      </c>
      <c r="AF39" s="375">
        <f t="shared" si="24"/>
        <v>1181.8181818181802</v>
      </c>
      <c r="AG39" s="385"/>
    </row>
    <row r="40" spans="2:33" ht="18" customHeight="1" x14ac:dyDescent="0.25">
      <c r="B40" s="102" t="s">
        <v>67</v>
      </c>
      <c r="C40" s="102" t="s">
        <v>80</v>
      </c>
      <c r="D40" s="390" t="s">
        <v>18</v>
      </c>
      <c r="E40" s="390" t="s">
        <v>19</v>
      </c>
      <c r="F40" s="391" t="s">
        <v>65</v>
      </c>
      <c r="G40" s="391" t="s">
        <v>24</v>
      </c>
      <c r="H40" s="392">
        <v>4000</v>
      </c>
      <c r="I40" s="391">
        <v>1</v>
      </c>
      <c r="J40" s="393">
        <f t="shared" si="4"/>
        <v>4</v>
      </c>
      <c r="K40" s="394"/>
      <c r="L40" s="394"/>
      <c r="M40" s="395"/>
      <c r="N40" s="396"/>
      <c r="O40" s="397">
        <v>5.7</v>
      </c>
      <c r="P40" s="398">
        <v>11</v>
      </c>
      <c r="Q40" s="399">
        <v>1</v>
      </c>
      <c r="R40" s="400">
        <f t="shared" si="56"/>
        <v>8.3333333333333329E-2</v>
      </c>
      <c r="S40" s="395">
        <f t="shared" si="57"/>
        <v>0.47499999999999998</v>
      </c>
      <c r="T40" s="401"/>
      <c r="U40" s="394">
        <f t="shared" si="19"/>
        <v>0</v>
      </c>
      <c r="V40" s="396">
        <f t="shared" si="20"/>
        <v>5.2250000000000005</v>
      </c>
      <c r="W40" s="402">
        <f t="shared" si="21"/>
        <v>0.13062500000000002</v>
      </c>
      <c r="X40" s="402">
        <v>0.18</v>
      </c>
      <c r="Y40" s="402">
        <f t="shared" si="22"/>
        <v>5.4050000000000002</v>
      </c>
      <c r="Z40" s="403">
        <f t="shared" si="41"/>
        <v>4000</v>
      </c>
      <c r="AA40" s="403">
        <f t="shared" si="58"/>
        <v>21620</v>
      </c>
      <c r="AB40" s="403"/>
      <c r="AC40" s="403">
        <v>24000</v>
      </c>
      <c r="AD40" s="403">
        <f t="shared" si="15"/>
        <v>2380</v>
      </c>
      <c r="AE40" s="403">
        <f t="shared" si="23"/>
        <v>24000</v>
      </c>
      <c r="AF40" s="404">
        <f t="shared" si="24"/>
        <v>2380</v>
      </c>
      <c r="AG40" s="405"/>
    </row>
    <row r="41" spans="2:33" ht="18" customHeight="1" x14ac:dyDescent="0.25">
      <c r="B41" s="102" t="s">
        <v>67</v>
      </c>
      <c r="C41" s="102" t="s">
        <v>80</v>
      </c>
      <c r="D41" s="159" t="s">
        <v>18</v>
      </c>
      <c r="E41" s="159" t="s">
        <v>19</v>
      </c>
      <c r="F41" s="160">
        <v>168</v>
      </c>
      <c r="G41" s="160" t="s">
        <v>24</v>
      </c>
      <c r="H41" s="161">
        <v>4000</v>
      </c>
      <c r="I41" s="160">
        <v>1</v>
      </c>
      <c r="J41" s="335">
        <f t="shared" si="4"/>
        <v>4</v>
      </c>
      <c r="K41" s="162"/>
      <c r="L41" s="162"/>
      <c r="M41" s="163"/>
      <c r="N41" s="164"/>
      <c r="O41" s="165">
        <v>5.7</v>
      </c>
      <c r="P41" s="166">
        <v>11</v>
      </c>
      <c r="Q41" s="167">
        <v>1</v>
      </c>
      <c r="R41" s="98">
        <f t="shared" si="56"/>
        <v>8.3333333333333329E-2</v>
      </c>
      <c r="S41" s="163">
        <f t="shared" si="57"/>
        <v>0.47499999999999998</v>
      </c>
      <c r="T41" s="168"/>
      <c r="U41" s="162">
        <f t="shared" si="19"/>
        <v>0</v>
      </c>
      <c r="V41" s="164">
        <f t="shared" si="20"/>
        <v>5.2250000000000005</v>
      </c>
      <c r="W41" s="169">
        <f t="shared" si="21"/>
        <v>0.13062500000000002</v>
      </c>
      <c r="X41" s="169">
        <v>0.18</v>
      </c>
      <c r="Y41" s="169">
        <f t="shared" si="22"/>
        <v>5.4050000000000002</v>
      </c>
      <c r="Z41" s="170">
        <f t="shared" si="41"/>
        <v>4000</v>
      </c>
      <c r="AA41" s="170">
        <f t="shared" si="58"/>
        <v>21620</v>
      </c>
      <c r="AB41" s="170"/>
      <c r="AC41" s="170">
        <v>24000</v>
      </c>
      <c r="AD41" s="170">
        <f t="shared" si="15"/>
        <v>2380</v>
      </c>
      <c r="AE41" s="170">
        <f t="shared" si="23"/>
        <v>24000</v>
      </c>
      <c r="AF41" s="380">
        <f t="shared" si="24"/>
        <v>2380</v>
      </c>
      <c r="AG41" s="406"/>
    </row>
    <row r="42" spans="2:33" ht="18" customHeight="1" x14ac:dyDescent="0.25">
      <c r="B42" s="102" t="s">
        <v>67</v>
      </c>
      <c r="C42" s="102" t="s">
        <v>80</v>
      </c>
      <c r="D42" s="171" t="s">
        <v>18</v>
      </c>
      <c r="E42" s="171" t="s">
        <v>19</v>
      </c>
      <c r="F42" s="172" t="s">
        <v>66</v>
      </c>
      <c r="G42" s="172" t="s">
        <v>24</v>
      </c>
      <c r="H42" s="173">
        <v>4000</v>
      </c>
      <c r="I42" s="172">
        <v>1</v>
      </c>
      <c r="J42" s="336">
        <f t="shared" si="4"/>
        <v>4</v>
      </c>
      <c r="K42" s="174"/>
      <c r="L42" s="174"/>
      <c r="M42" s="175"/>
      <c r="N42" s="176"/>
      <c r="O42" s="177">
        <v>5</v>
      </c>
      <c r="P42" s="178">
        <v>1</v>
      </c>
      <c r="Q42" s="179"/>
      <c r="R42" s="180">
        <f t="shared" si="56"/>
        <v>0</v>
      </c>
      <c r="S42" s="175">
        <f t="shared" si="57"/>
        <v>0</v>
      </c>
      <c r="T42" s="181"/>
      <c r="U42" s="174">
        <f t="shared" si="19"/>
        <v>0</v>
      </c>
      <c r="V42" s="176">
        <f t="shared" si="20"/>
        <v>5</v>
      </c>
      <c r="W42" s="182">
        <f t="shared" si="21"/>
        <v>0.125</v>
      </c>
      <c r="X42" s="182">
        <v>0.15</v>
      </c>
      <c r="Y42" s="182">
        <f t="shared" si="22"/>
        <v>5.15</v>
      </c>
      <c r="Z42" s="183">
        <f t="shared" si="41"/>
        <v>4000</v>
      </c>
      <c r="AA42" s="183">
        <f t="shared" si="58"/>
        <v>20600</v>
      </c>
      <c r="AB42" s="183"/>
      <c r="AC42" s="183">
        <v>22000</v>
      </c>
      <c r="AD42" s="183">
        <f t="shared" si="15"/>
        <v>1400</v>
      </c>
      <c r="AE42" s="183">
        <f t="shared" si="23"/>
        <v>22000</v>
      </c>
      <c r="AF42" s="381">
        <f t="shared" si="24"/>
        <v>1400</v>
      </c>
      <c r="AG42" s="407"/>
    </row>
  </sheetData>
  <autoFilter ref="A5:AF42" xr:uid="{5A942856-6862-42D4-97F7-88C4182BA2C0}"/>
  <phoneticPr fontId="11" type="noConversion"/>
  <pageMargins left="0.7" right="0.7" top="0.75" bottom="0.75" header="0.3" footer="0.3"/>
  <pageSetup orientation="portrait" horizontalDpi="1200" verticalDpi="1200" r:id="rId1"/>
  <ignoredErrors>
    <ignoredError sqref="Z7" formula="1"/>
    <ignoredError sqref="AD28:AD32 W28:W42 AD35:AD42" evalError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add325-a573-4445-9fd8-1bf5e099caf3">
      <Terms xmlns="http://schemas.microsoft.com/office/infopath/2007/PartnerControls"/>
    </lcf76f155ced4ddcb4097134ff3c332f>
    <TaxCatchAll xmlns="91539d5e-b9ec-495a-b7dd-6820dbbd39a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EC9CF861090A41930D726F2BD3F6C6" ma:contentTypeVersion="10" ma:contentTypeDescription="Create a new document." ma:contentTypeScope="" ma:versionID="4ea589c60f81a1889c723d60f575bdb0">
  <xsd:schema xmlns:xsd="http://www.w3.org/2001/XMLSchema" xmlns:xs="http://www.w3.org/2001/XMLSchema" xmlns:p="http://schemas.microsoft.com/office/2006/metadata/properties" xmlns:ns2="d1add325-a573-4445-9fd8-1bf5e099caf3" xmlns:ns3="91539d5e-b9ec-495a-b7dd-6820dbbd39af" targetNamespace="http://schemas.microsoft.com/office/2006/metadata/properties" ma:root="true" ma:fieldsID="f4cfbca2e390b625c692109ea89166a3" ns2:_="" ns3:_="">
    <xsd:import namespace="d1add325-a573-4445-9fd8-1bf5e099caf3"/>
    <xsd:import namespace="91539d5e-b9ec-495a-b7dd-6820dbbd39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add325-a573-4445-9fd8-1bf5e099c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5180c-f89c-4ef3-90fb-6450c73c4e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539d5e-b9ec-495a-b7dd-6820dbbd39a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e202fe7-ffe9-4fb9-bda1-5194341d0cd7}" ma:internalName="TaxCatchAll" ma:showField="CatchAllData" ma:web="91539d5e-b9ec-495a-b7dd-6820dbbd39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4A7C32-0D7F-4398-8937-1BA3F782C9B9}">
  <ds:schemaRefs>
    <ds:schemaRef ds:uri="http://schemas.microsoft.com/office/2006/metadata/properties"/>
    <ds:schemaRef ds:uri="http://schemas.microsoft.com/office/infopath/2007/PartnerControls"/>
    <ds:schemaRef ds:uri="d1add325-a573-4445-9fd8-1bf5e099caf3"/>
    <ds:schemaRef ds:uri="91539d5e-b9ec-495a-b7dd-6820dbbd39af"/>
  </ds:schemaRefs>
</ds:datastoreItem>
</file>

<file path=customXml/itemProps2.xml><?xml version="1.0" encoding="utf-8"?>
<ds:datastoreItem xmlns:ds="http://schemas.openxmlformats.org/officeDocument/2006/customXml" ds:itemID="{84890C25-318B-4589-B2F1-DECBF3D9E2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F20BE9-9380-4D73-BD29-F48ADB916A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add325-a573-4445-9fd8-1bf5e099caf3"/>
    <ds:schemaRef ds:uri="91539d5e-b9ec-495a-b7dd-6820dbbd39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Oil</vt:lpstr>
      <vt:lpstr>Powder Detergent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Chhakrey KLEANG</dc:creator>
  <cp:keywords/>
  <dc:description/>
  <cp:lastModifiedBy>User</cp:lastModifiedBy>
  <cp:revision/>
  <dcterms:created xsi:type="dcterms:W3CDTF">2025-07-09T00:22:43Z</dcterms:created>
  <dcterms:modified xsi:type="dcterms:W3CDTF">2025-12-15T08:26:14Z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0x010100D7EC9CF861090A41930D726F2BD3F6C6</vt:lpwstr>
  </property>
  <property fmtid="{D5CDD505-2E9C-101B-9397-08002B2CF9AE}" pid="3" name="MediaServiceImageTags">
    <vt:lpwstr/>
  </property>
</Properties>
</file>